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gonnomada/Desktop/GitHub/power-bi-scotiabank-2026/s102/"/>
    </mc:Choice>
  </mc:AlternateContent>
  <xr:revisionPtr revIDLastSave="0" documentId="13_ncr:2001_{631BF53A-CFDF-7342-9A20-AAD473459C39}" xr6:coauthVersionLast="47" xr6:coauthVersionMax="47" xr10:uidLastSave="{00000000-0000-0000-0000-000000000000}"/>
  <bookViews>
    <workbookView xWindow="38400" yWindow="4360" windowWidth="21600" windowHeight="14480" xr2:uid="{B5B4C6FC-7A1C-5540-BC71-67FFD374CF0A}"/>
  </bookViews>
  <sheets>
    <sheet name="Ventas" sheetId="1" r:id="rId1"/>
    <sheet name="Pagos" sheetId="2" r:id="rId2"/>
    <sheet name="Amortizaciones" sheetId="4" r:id="rId3"/>
    <sheet name="Mapa de Pagos" sheetId="3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3" l="1"/>
  <c r="H3" i="3" s="1"/>
  <c r="J3" i="3" s="1"/>
  <c r="H4" i="3" s="1"/>
  <c r="J4" i="3" s="1"/>
  <c r="H5" i="3" s="1"/>
  <c r="J5" i="3" s="1"/>
  <c r="H6" i="3" s="1"/>
  <c r="J6" i="3" s="1"/>
  <c r="H7" i="3" s="1"/>
  <c r="J7" i="3" s="1"/>
  <c r="H8" i="3" s="1"/>
  <c r="J8" i="3" s="1"/>
  <c r="H9" i="3" s="1"/>
  <c r="J9" i="3" s="1"/>
  <c r="H10" i="3" s="1"/>
  <c r="J10" i="3" s="1"/>
  <c r="H11" i="3" s="1"/>
  <c r="J11" i="3" s="1"/>
  <c r="H12" i="3" s="1"/>
  <c r="J12" i="3" s="1"/>
  <c r="H13" i="3" s="1"/>
  <c r="J13" i="3" s="1"/>
  <c r="H14" i="3" s="1"/>
  <c r="J14" i="3" s="1"/>
  <c r="H15" i="3" s="1"/>
  <c r="J15" i="3" s="1"/>
  <c r="H16" i="3" s="1"/>
  <c r="J16" i="3" s="1"/>
  <c r="H17" i="3" s="1"/>
  <c r="J17" i="3" s="1"/>
  <c r="H18" i="3" s="1"/>
  <c r="J18" i="3" s="1"/>
  <c r="H19" i="3" s="1"/>
  <c r="J19" i="3" s="1"/>
  <c r="H20" i="3" s="1"/>
  <c r="J20" i="3" s="1"/>
  <c r="H21" i="3" s="1"/>
  <c r="J21" i="3" s="1"/>
  <c r="H22" i="3" s="1"/>
  <c r="J22" i="3" s="1"/>
  <c r="I2" i="3"/>
  <c r="G3" i="3" s="1"/>
  <c r="I3" i="3" s="1"/>
  <c r="G4" i="3" s="1"/>
  <c r="I4" i="3" s="1"/>
  <c r="G5" i="3" s="1"/>
  <c r="I5" i="3" s="1"/>
  <c r="G6" i="3" s="1"/>
  <c r="I6" i="3" s="1"/>
  <c r="G7" i="3" s="1"/>
  <c r="I7" i="3" s="1"/>
  <c r="G8" i="3" s="1"/>
  <c r="I8" i="3" s="1"/>
  <c r="G9" i="3" s="1"/>
  <c r="I9" i="3" s="1"/>
  <c r="G10" i="3" s="1"/>
  <c r="I10" i="3" s="1"/>
  <c r="G11" i="3" s="1"/>
  <c r="I11" i="3" s="1"/>
  <c r="G12" i="3" s="1"/>
  <c r="I12" i="3" s="1"/>
  <c r="G13" i="3" s="1"/>
  <c r="I13" i="3" s="1"/>
  <c r="G14" i="3" s="1"/>
  <c r="I14" i="3" s="1"/>
  <c r="G15" i="3" s="1"/>
  <c r="I15" i="3" s="1"/>
  <c r="G16" i="3" s="1"/>
  <c r="I16" i="3" s="1"/>
  <c r="G17" i="3" s="1"/>
  <c r="I17" i="3" s="1"/>
  <c r="G18" i="3" s="1"/>
  <c r="I18" i="3" s="1"/>
  <c r="G19" i="3" s="1"/>
  <c r="I19" i="3" s="1"/>
  <c r="G20" i="3" s="1"/>
  <c r="I20" i="3" s="1"/>
  <c r="G21" i="3" s="1"/>
  <c r="I21" i="3" s="1"/>
  <c r="G22" i="3" s="1"/>
  <c r="I22" i="3" s="1"/>
  <c r="I100" i="4"/>
  <c r="E100" i="4"/>
  <c r="D59" i="4" l="1"/>
  <c r="E59" i="4"/>
  <c r="D60" i="4"/>
  <c r="E60" i="4"/>
  <c r="D61" i="4"/>
  <c r="E61" i="4"/>
  <c r="D62" i="4"/>
  <c r="E62" i="4"/>
  <c r="D63" i="4"/>
  <c r="E63" i="4"/>
  <c r="D64" i="4"/>
  <c r="E64" i="4"/>
  <c r="D65" i="4"/>
  <c r="E65" i="4"/>
  <c r="D66" i="4"/>
  <c r="E66" i="4"/>
  <c r="D67" i="4"/>
  <c r="E67" i="4"/>
  <c r="D68" i="4"/>
  <c r="E68" i="4"/>
  <c r="D69" i="4"/>
  <c r="E69" i="4"/>
  <c r="D70" i="4"/>
  <c r="E70" i="4"/>
  <c r="D71" i="4"/>
  <c r="E71" i="4"/>
  <c r="D72" i="4"/>
  <c r="E72" i="4"/>
  <c r="D73" i="4"/>
  <c r="E73" i="4"/>
  <c r="D74" i="4"/>
  <c r="E74" i="4"/>
  <c r="D75" i="4"/>
  <c r="E75" i="4"/>
  <c r="D76" i="4"/>
  <c r="E76" i="4"/>
  <c r="D77" i="4"/>
  <c r="E77" i="4"/>
  <c r="D78" i="4"/>
  <c r="E78" i="4"/>
  <c r="D79" i="4"/>
  <c r="E79" i="4"/>
  <c r="D80" i="4"/>
  <c r="E80" i="4"/>
  <c r="D81" i="4"/>
  <c r="E81" i="4"/>
  <c r="D82" i="4"/>
  <c r="E82" i="4"/>
  <c r="D83" i="4"/>
  <c r="E83" i="4"/>
  <c r="D84" i="4"/>
  <c r="E84" i="4"/>
  <c r="D85" i="4"/>
  <c r="E85" i="4"/>
  <c r="D86" i="4"/>
  <c r="E86" i="4"/>
  <c r="D87" i="4"/>
  <c r="E87" i="4"/>
  <c r="D88" i="4"/>
  <c r="E88" i="4"/>
  <c r="D89" i="4"/>
  <c r="E89" i="4"/>
  <c r="D90" i="4"/>
  <c r="E90" i="4"/>
  <c r="D91" i="4"/>
  <c r="E91" i="4"/>
  <c r="D92" i="4"/>
  <c r="E92" i="4"/>
  <c r="D93" i="4"/>
  <c r="E93" i="4"/>
  <c r="D94" i="4"/>
  <c r="E94" i="4"/>
  <c r="D95" i="4"/>
  <c r="E95" i="4"/>
  <c r="D96" i="4"/>
  <c r="E96" i="4"/>
  <c r="D97" i="4"/>
  <c r="E97" i="4"/>
  <c r="D98" i="4"/>
  <c r="E98" i="4"/>
  <c r="D99" i="4"/>
  <c r="E99" i="4"/>
  <c r="D100" i="4"/>
  <c r="D56" i="4"/>
  <c r="E56" i="4"/>
  <c r="D50" i="4"/>
  <c r="E50" i="4"/>
  <c r="D51" i="4"/>
  <c r="E51" i="4"/>
  <c r="D52" i="4"/>
  <c r="E52" i="4"/>
  <c r="D53" i="4"/>
  <c r="E53" i="4"/>
  <c r="E58" i="4"/>
  <c r="D58" i="4"/>
  <c r="G57" i="4"/>
  <c r="I57" i="4" s="1"/>
  <c r="G58" i="4" s="1"/>
  <c r="I58" i="4" s="1"/>
  <c r="G59" i="4" s="1"/>
  <c r="I59" i="4" s="1"/>
  <c r="G60" i="4" s="1"/>
  <c r="I60" i="4" s="1"/>
  <c r="G61" i="4" s="1"/>
  <c r="I61" i="4" s="1"/>
  <c r="G62" i="4" s="1"/>
  <c r="I62" i="4" s="1"/>
  <c r="G63" i="4" s="1"/>
  <c r="I63" i="4" s="1"/>
  <c r="G64" i="4" s="1"/>
  <c r="I64" i="4" s="1"/>
  <c r="G65" i="4" s="1"/>
  <c r="I65" i="4" s="1"/>
  <c r="G66" i="4" s="1"/>
  <c r="I66" i="4" s="1"/>
  <c r="G67" i="4" s="1"/>
  <c r="I67" i="4" s="1"/>
  <c r="G68" i="4" s="1"/>
  <c r="I68" i="4" s="1"/>
  <c r="G69" i="4" s="1"/>
  <c r="I69" i="4" s="1"/>
  <c r="G70" i="4" s="1"/>
  <c r="I70" i="4" s="1"/>
  <c r="G71" i="4" s="1"/>
  <c r="I71" i="4" s="1"/>
  <c r="G72" i="4" s="1"/>
  <c r="I72" i="4" s="1"/>
  <c r="G73" i="4" s="1"/>
  <c r="I73" i="4" s="1"/>
  <c r="G74" i="4" s="1"/>
  <c r="I74" i="4" s="1"/>
  <c r="G75" i="4" s="1"/>
  <c r="I75" i="4" s="1"/>
  <c r="G76" i="4" s="1"/>
  <c r="I76" i="4" s="1"/>
  <c r="G77" i="4" s="1"/>
  <c r="I77" i="4" s="1"/>
  <c r="G78" i="4" s="1"/>
  <c r="I78" i="4" s="1"/>
  <c r="G79" i="4" s="1"/>
  <c r="I79" i="4" s="1"/>
  <c r="G80" i="4" s="1"/>
  <c r="I80" i="4" s="1"/>
  <c r="G81" i="4" s="1"/>
  <c r="I81" i="4" s="1"/>
  <c r="G82" i="4" s="1"/>
  <c r="I82" i="4" s="1"/>
  <c r="G83" i="4" s="1"/>
  <c r="I83" i="4" s="1"/>
  <c r="G84" i="4" s="1"/>
  <c r="I84" i="4" s="1"/>
  <c r="G85" i="4" s="1"/>
  <c r="I85" i="4" s="1"/>
  <c r="G86" i="4" s="1"/>
  <c r="I86" i="4" s="1"/>
  <c r="G87" i="4" s="1"/>
  <c r="I87" i="4" s="1"/>
  <c r="G88" i="4" s="1"/>
  <c r="I88" i="4" s="1"/>
  <c r="G89" i="4" s="1"/>
  <c r="I89" i="4" s="1"/>
  <c r="G90" i="4" s="1"/>
  <c r="I90" i="4" s="1"/>
  <c r="G91" i="4" s="1"/>
  <c r="I91" i="4" s="1"/>
  <c r="G92" i="4" s="1"/>
  <c r="I92" i="4" s="1"/>
  <c r="G93" i="4" s="1"/>
  <c r="I93" i="4" s="1"/>
  <c r="G94" i="4" s="1"/>
  <c r="I94" i="4" s="1"/>
  <c r="G95" i="4" s="1"/>
  <c r="I95" i="4" s="1"/>
  <c r="G96" i="4" s="1"/>
  <c r="I96" i="4" s="1"/>
  <c r="G97" i="4" s="1"/>
  <c r="I97" i="4" s="1"/>
  <c r="G98" i="4" s="1"/>
  <c r="I98" i="4" s="1"/>
  <c r="G99" i="4" s="1"/>
  <c r="I99" i="4" s="1"/>
  <c r="G100" i="4" s="1"/>
  <c r="F57" i="4"/>
  <c r="E57" i="4"/>
  <c r="J57" i="4" s="1"/>
  <c r="H58" i="4" s="1"/>
  <c r="D57" i="4"/>
  <c r="E55" i="4"/>
  <c r="D55" i="4"/>
  <c r="J54" i="4"/>
  <c r="H55" i="4" s="1"/>
  <c r="G54" i="4"/>
  <c r="I54" i="4" s="1"/>
  <c r="G55" i="4" s="1"/>
  <c r="I55" i="4" s="1"/>
  <c r="G56" i="4" s="1"/>
  <c r="F54" i="4"/>
  <c r="E54" i="4"/>
  <c r="D54" i="4"/>
  <c r="E49" i="4"/>
  <c r="D49" i="4"/>
  <c r="G48" i="4"/>
  <c r="F48" i="4"/>
  <c r="E48" i="4"/>
  <c r="J48" i="4" s="1"/>
  <c r="H49" i="4" s="1"/>
  <c r="D48" i="4"/>
  <c r="D29" i="4"/>
  <c r="E29" i="4"/>
  <c r="D30" i="4"/>
  <c r="E30" i="4"/>
  <c r="D31" i="4"/>
  <c r="E31" i="4"/>
  <c r="D32" i="4"/>
  <c r="E32" i="4"/>
  <c r="D33" i="4"/>
  <c r="E33" i="4"/>
  <c r="D34" i="4"/>
  <c r="E34" i="4"/>
  <c r="D35" i="4"/>
  <c r="E35" i="4"/>
  <c r="D36" i="4"/>
  <c r="E36" i="4"/>
  <c r="D37" i="4"/>
  <c r="E37" i="4"/>
  <c r="D38" i="4"/>
  <c r="E38" i="4"/>
  <c r="D39" i="4"/>
  <c r="E39" i="4"/>
  <c r="D40" i="4"/>
  <c r="E40" i="4"/>
  <c r="D41" i="4"/>
  <c r="E41" i="4"/>
  <c r="D42" i="4"/>
  <c r="E42" i="4"/>
  <c r="D43" i="4"/>
  <c r="E43" i="4"/>
  <c r="D44" i="4"/>
  <c r="E44" i="4"/>
  <c r="D45" i="4"/>
  <c r="E45" i="4"/>
  <c r="D46" i="4"/>
  <c r="E46" i="4"/>
  <c r="D47" i="4"/>
  <c r="E47" i="4"/>
  <c r="E27" i="4"/>
  <c r="J27" i="4" s="1"/>
  <c r="H28" i="4" s="1"/>
  <c r="E28" i="4"/>
  <c r="D28" i="4"/>
  <c r="G27" i="4"/>
  <c r="F27" i="4"/>
  <c r="D27" i="4"/>
  <c r="E26" i="4"/>
  <c r="E25" i="4"/>
  <c r="E24" i="4"/>
  <c r="G23" i="4"/>
  <c r="F23" i="4"/>
  <c r="E23" i="4"/>
  <c r="J23" i="4" s="1"/>
  <c r="H24" i="4" s="1"/>
  <c r="D25" i="4"/>
  <c r="D26" i="4"/>
  <c r="D24" i="4"/>
  <c r="D23" i="4"/>
  <c r="F2" i="4"/>
  <c r="E2" i="4"/>
  <c r="J2" i="4" s="1"/>
  <c r="H3" i="4" s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" i="4"/>
  <c r="J49" i="4" l="1"/>
  <c r="H50" i="4" s="1"/>
  <c r="J50" i="4" s="1"/>
  <c r="H51" i="4" s="1"/>
  <c r="J51" i="4" s="1"/>
  <c r="H52" i="4" s="1"/>
  <c r="J52" i="4" s="1"/>
  <c r="H53" i="4" s="1"/>
  <c r="J53" i="4" s="1"/>
  <c r="I48" i="4"/>
  <c r="G49" i="4" s="1"/>
  <c r="I49" i="4" s="1"/>
  <c r="G50" i="4" s="1"/>
  <c r="I50" i="4" s="1"/>
  <c r="G51" i="4" s="1"/>
  <c r="I51" i="4" s="1"/>
  <c r="G52" i="4" s="1"/>
  <c r="I52" i="4" s="1"/>
  <c r="G53" i="4" s="1"/>
  <c r="I53" i="4" s="1"/>
  <c r="J55" i="4"/>
  <c r="H56" i="4" s="1"/>
  <c r="J56" i="4" s="1"/>
  <c r="J58" i="4"/>
  <c r="H59" i="4" s="1"/>
  <c r="J59" i="4" s="1"/>
  <c r="H60" i="4" s="1"/>
  <c r="J60" i="4" s="1"/>
  <c r="H61" i="4" s="1"/>
  <c r="J61" i="4" s="1"/>
  <c r="H62" i="4" s="1"/>
  <c r="J62" i="4" s="1"/>
  <c r="H63" i="4" s="1"/>
  <c r="J63" i="4" s="1"/>
  <c r="H64" i="4" s="1"/>
  <c r="J64" i="4" s="1"/>
  <c r="H65" i="4" s="1"/>
  <c r="J65" i="4" s="1"/>
  <c r="H66" i="4" s="1"/>
  <c r="J66" i="4" s="1"/>
  <c r="H67" i="4" s="1"/>
  <c r="J67" i="4" s="1"/>
  <c r="H68" i="4" s="1"/>
  <c r="J68" i="4" s="1"/>
  <c r="H69" i="4" s="1"/>
  <c r="J69" i="4" s="1"/>
  <c r="H70" i="4" s="1"/>
  <c r="J70" i="4" s="1"/>
  <c r="H71" i="4" s="1"/>
  <c r="J71" i="4" s="1"/>
  <c r="H72" i="4" s="1"/>
  <c r="J72" i="4" s="1"/>
  <c r="H73" i="4" s="1"/>
  <c r="J73" i="4" s="1"/>
  <c r="H74" i="4" s="1"/>
  <c r="J74" i="4" s="1"/>
  <c r="H75" i="4" s="1"/>
  <c r="J75" i="4" s="1"/>
  <c r="H76" i="4" s="1"/>
  <c r="J76" i="4" s="1"/>
  <c r="H77" i="4" s="1"/>
  <c r="J77" i="4" s="1"/>
  <c r="H78" i="4" s="1"/>
  <c r="J78" i="4" s="1"/>
  <c r="H79" i="4" s="1"/>
  <c r="J79" i="4" s="1"/>
  <c r="H80" i="4" s="1"/>
  <c r="J80" i="4" s="1"/>
  <c r="H81" i="4" s="1"/>
  <c r="J81" i="4" s="1"/>
  <c r="H82" i="4" s="1"/>
  <c r="J82" i="4" s="1"/>
  <c r="H83" i="4" s="1"/>
  <c r="J83" i="4" s="1"/>
  <c r="H84" i="4" s="1"/>
  <c r="J84" i="4" s="1"/>
  <c r="H85" i="4" s="1"/>
  <c r="J85" i="4" s="1"/>
  <c r="H86" i="4" s="1"/>
  <c r="J86" i="4" s="1"/>
  <c r="H87" i="4" s="1"/>
  <c r="J87" i="4" s="1"/>
  <c r="H88" i="4" s="1"/>
  <c r="J88" i="4" s="1"/>
  <c r="H89" i="4" s="1"/>
  <c r="J89" i="4" s="1"/>
  <c r="H90" i="4" s="1"/>
  <c r="J90" i="4" s="1"/>
  <c r="H91" i="4" s="1"/>
  <c r="J91" i="4" s="1"/>
  <c r="H92" i="4" s="1"/>
  <c r="J92" i="4" s="1"/>
  <c r="H93" i="4" s="1"/>
  <c r="J93" i="4" s="1"/>
  <c r="H94" i="4" s="1"/>
  <c r="J94" i="4" s="1"/>
  <c r="H95" i="4" s="1"/>
  <c r="J95" i="4" s="1"/>
  <c r="H96" i="4" s="1"/>
  <c r="J96" i="4" s="1"/>
  <c r="H97" i="4" s="1"/>
  <c r="J97" i="4" s="1"/>
  <c r="H98" i="4" s="1"/>
  <c r="J98" i="4" s="1"/>
  <c r="H99" i="4" s="1"/>
  <c r="J99" i="4" s="1"/>
  <c r="H100" i="4" s="1"/>
  <c r="J100" i="4" s="1"/>
  <c r="I27" i="4"/>
  <c r="I56" i="4"/>
  <c r="J24" i="4"/>
  <c r="H25" i="4" s="1"/>
  <c r="J25" i="4" s="1"/>
  <c r="H26" i="4" s="1"/>
  <c r="J26" i="4" s="1"/>
  <c r="I23" i="4"/>
  <c r="G24" i="4" s="1"/>
  <c r="I24" i="4" s="1"/>
  <c r="G25" i="4" s="1"/>
  <c r="I25" i="4" s="1"/>
  <c r="G26" i="4" s="1"/>
  <c r="I26" i="4" s="1"/>
  <c r="G28" i="4"/>
  <c r="I28" i="4" s="1"/>
  <c r="G29" i="4" s="1"/>
  <c r="I29" i="4" s="1"/>
  <c r="G30" i="4" s="1"/>
  <c r="I30" i="4" s="1"/>
  <c r="G31" i="4" s="1"/>
  <c r="I31" i="4" s="1"/>
  <c r="G32" i="4" s="1"/>
  <c r="I32" i="4" s="1"/>
  <c r="G33" i="4" s="1"/>
  <c r="I33" i="4" s="1"/>
  <c r="G34" i="4" s="1"/>
  <c r="I34" i="4" s="1"/>
  <c r="G35" i="4" s="1"/>
  <c r="I35" i="4" s="1"/>
  <c r="G36" i="4" s="1"/>
  <c r="I36" i="4" s="1"/>
  <c r="G37" i="4" s="1"/>
  <c r="I37" i="4" s="1"/>
  <c r="G38" i="4" s="1"/>
  <c r="I38" i="4" s="1"/>
  <c r="G39" i="4" s="1"/>
  <c r="I39" i="4" s="1"/>
  <c r="G40" i="4" s="1"/>
  <c r="I40" i="4" s="1"/>
  <c r="G41" i="4" s="1"/>
  <c r="I41" i="4" s="1"/>
  <c r="G42" i="4" s="1"/>
  <c r="I42" i="4" s="1"/>
  <c r="G43" i="4" s="1"/>
  <c r="I43" i="4" s="1"/>
  <c r="G44" i="4" s="1"/>
  <c r="I44" i="4" s="1"/>
  <c r="G45" i="4" s="1"/>
  <c r="I45" i="4" s="1"/>
  <c r="G46" i="4" s="1"/>
  <c r="I46" i="4" s="1"/>
  <c r="G47" i="4" s="1"/>
  <c r="I47" i="4" s="1"/>
  <c r="J28" i="4"/>
  <c r="H29" i="4" s="1"/>
  <c r="J29" i="4" s="1"/>
  <c r="H30" i="4" s="1"/>
  <c r="J30" i="4" s="1"/>
  <c r="H31" i="4" s="1"/>
  <c r="J31" i="4" s="1"/>
  <c r="H32" i="4" s="1"/>
  <c r="J32" i="4" s="1"/>
  <c r="H33" i="4" s="1"/>
  <c r="J33" i="4" s="1"/>
  <c r="H34" i="4" s="1"/>
  <c r="J34" i="4" s="1"/>
  <c r="H35" i="4" s="1"/>
  <c r="J35" i="4" s="1"/>
  <c r="H36" i="4" s="1"/>
  <c r="J36" i="4" s="1"/>
  <c r="H37" i="4" s="1"/>
  <c r="J37" i="4" s="1"/>
  <c r="H38" i="4" s="1"/>
  <c r="J38" i="4" s="1"/>
  <c r="H39" i="4" s="1"/>
  <c r="J39" i="4" s="1"/>
  <c r="H40" i="4" s="1"/>
  <c r="J40" i="4" s="1"/>
  <c r="H41" i="4" s="1"/>
  <c r="J41" i="4" s="1"/>
  <c r="H42" i="4" s="1"/>
  <c r="J42" i="4" s="1"/>
  <c r="H43" i="4" s="1"/>
  <c r="J43" i="4" s="1"/>
  <c r="H44" i="4" s="1"/>
  <c r="J44" i="4" s="1"/>
  <c r="H45" i="4" s="1"/>
  <c r="J45" i="4" s="1"/>
  <c r="H46" i="4" s="1"/>
  <c r="J46" i="4" s="1"/>
  <c r="H47" i="4" s="1"/>
  <c r="J47" i="4" s="1"/>
  <c r="L2" i="1"/>
  <c r="M2" i="1" s="1"/>
  <c r="N2" i="1" l="1"/>
  <c r="G2" i="4" s="1"/>
  <c r="I2" i="4" s="1"/>
  <c r="G3" i="4" s="1"/>
  <c r="O2" i="1"/>
  <c r="E7" i="4" l="1"/>
  <c r="E15" i="4"/>
  <c r="E3" i="4"/>
  <c r="J3" i="4" s="1"/>
  <c r="H4" i="4" s="1"/>
  <c r="E18" i="4"/>
  <c r="E19" i="4"/>
  <c r="E12" i="4"/>
  <c r="E5" i="4"/>
  <c r="E22" i="4"/>
  <c r="E8" i="4"/>
  <c r="E16" i="4"/>
  <c r="E10" i="4"/>
  <c r="E4" i="4"/>
  <c r="E13" i="4"/>
  <c r="E9" i="4"/>
  <c r="E17" i="4"/>
  <c r="E11" i="4"/>
  <c r="E20" i="4"/>
  <c r="E21" i="4"/>
  <c r="E14" i="4"/>
  <c r="E6" i="4"/>
  <c r="I3" i="4"/>
  <c r="G4" i="4" s="1"/>
  <c r="I4" i="4" s="1"/>
  <c r="G5" i="4" s="1"/>
  <c r="I5" i="4" l="1"/>
  <c r="G6" i="4" s="1"/>
  <c r="I6" i="4" s="1"/>
  <c r="G7" i="4" s="1"/>
  <c r="I7" i="4" s="1"/>
  <c r="G8" i="4" s="1"/>
  <c r="I8" i="4" s="1"/>
  <c r="G9" i="4" s="1"/>
  <c r="I9" i="4" s="1"/>
  <c r="G10" i="4" s="1"/>
  <c r="I10" i="4" s="1"/>
  <c r="G11" i="4" s="1"/>
  <c r="I11" i="4" s="1"/>
  <c r="G12" i="4" s="1"/>
  <c r="I12" i="4" s="1"/>
  <c r="G13" i="4" s="1"/>
  <c r="I13" i="4" s="1"/>
  <c r="G14" i="4" s="1"/>
  <c r="I14" i="4" s="1"/>
  <c r="G15" i="4" s="1"/>
  <c r="I15" i="4" s="1"/>
  <c r="G16" i="4" s="1"/>
  <c r="I16" i="4" s="1"/>
  <c r="G17" i="4" s="1"/>
  <c r="I17" i="4" s="1"/>
  <c r="G18" i="4" s="1"/>
  <c r="I18" i="4" s="1"/>
  <c r="G19" i="4" s="1"/>
  <c r="I19" i="4" s="1"/>
  <c r="G20" i="4" s="1"/>
  <c r="I20" i="4" s="1"/>
  <c r="G21" i="4" s="1"/>
  <c r="I21" i="4" s="1"/>
  <c r="G22" i="4" s="1"/>
  <c r="I22" i="4" s="1"/>
  <c r="J4" i="4"/>
  <c r="H5" i="4" s="1"/>
  <c r="J5" i="4" s="1"/>
  <c r="H6" i="4" s="1"/>
  <c r="J6" i="4" s="1"/>
  <c r="H7" i="4" s="1"/>
  <c r="J7" i="4" s="1"/>
  <c r="H8" i="4" s="1"/>
  <c r="J8" i="4" s="1"/>
  <c r="H9" i="4" s="1"/>
  <c r="J9" i="4" s="1"/>
  <c r="H10" i="4" s="1"/>
  <c r="J10" i="4" s="1"/>
  <c r="H11" i="4" s="1"/>
  <c r="J11" i="4" s="1"/>
  <c r="H12" i="4" s="1"/>
  <c r="J12" i="4" s="1"/>
  <c r="H13" i="4" s="1"/>
  <c r="J13" i="4" s="1"/>
  <c r="H14" i="4" s="1"/>
  <c r="J14" i="4" s="1"/>
  <c r="H15" i="4" s="1"/>
  <c r="J15" i="4" s="1"/>
  <c r="H16" i="4" s="1"/>
  <c r="J16" i="4" s="1"/>
  <c r="H17" i="4" s="1"/>
  <c r="J17" i="4" s="1"/>
  <c r="H18" i="4" s="1"/>
  <c r="J18" i="4" s="1"/>
  <c r="H19" i="4" s="1"/>
  <c r="J19" i="4" s="1"/>
  <c r="H20" i="4" s="1"/>
  <c r="J20" i="4" s="1"/>
  <c r="H21" i="4" s="1"/>
  <c r="J21" i="4" s="1"/>
  <c r="H22" i="4" s="1"/>
  <c r="J22" i="4" s="1"/>
</calcChain>
</file>

<file path=xl/sharedStrings.xml><?xml version="1.0" encoding="utf-8"?>
<sst xmlns="http://schemas.openxmlformats.org/spreadsheetml/2006/main" count="95" uniqueCount="54">
  <si>
    <t>Folio</t>
  </si>
  <si>
    <t>Creada</t>
  </si>
  <si>
    <t>Cliente</t>
  </si>
  <si>
    <t>Tipo Cliente</t>
  </si>
  <si>
    <t>NUEVO</t>
  </si>
  <si>
    <t>Producto</t>
  </si>
  <si>
    <t>Precio Producto</t>
  </si>
  <si>
    <t>Descuento</t>
  </si>
  <si>
    <t>Precio</t>
  </si>
  <si>
    <t>Plazos</t>
  </si>
  <si>
    <t>Anticipo</t>
  </si>
  <si>
    <t>Interes</t>
  </si>
  <si>
    <t>Financiado</t>
  </si>
  <si>
    <t>Subtotal</t>
  </si>
  <si>
    <t>Total</t>
  </si>
  <si>
    <t>Semanal</t>
  </si>
  <si>
    <t>RECURRENTE</t>
  </si>
  <si>
    <t>Concepto</t>
  </si>
  <si>
    <t>Monto Pagado</t>
  </si>
  <si>
    <t>Fecha Pago</t>
  </si>
  <si>
    <t>Pago 1 de 20</t>
  </si>
  <si>
    <t>Numero</t>
  </si>
  <si>
    <t>Monto Esperado</t>
  </si>
  <si>
    <t>Fecha Esperada</t>
  </si>
  <si>
    <t>Total Pagado Actual Esperado</t>
  </si>
  <si>
    <t>Total Pagado Actualizado Esperado</t>
  </si>
  <si>
    <t>Saldo Actual Esperado</t>
  </si>
  <si>
    <t>Saldo Actualizado Esperado</t>
  </si>
  <si>
    <t>Saldo Actual</t>
  </si>
  <si>
    <t>Total Pagado Actual</t>
  </si>
  <si>
    <t>Saldo Actualizado</t>
  </si>
  <si>
    <t>Total Pagado Actualizado</t>
  </si>
  <si>
    <t>Pago 2 de 20</t>
  </si>
  <si>
    <t>Pago 3 de 20</t>
  </si>
  <si>
    <t>Pago 4 de 20</t>
  </si>
  <si>
    <t>Pago 5 de 20</t>
  </si>
  <si>
    <t>Pago 6 de 20</t>
  </si>
  <si>
    <t>Pago 7 de 20</t>
  </si>
  <si>
    <t>Pago 8 de 20</t>
  </si>
  <si>
    <t>Pago 9 de 20</t>
  </si>
  <si>
    <t>Pago 10 de 20</t>
  </si>
  <si>
    <t>Pago 11 de 20</t>
  </si>
  <si>
    <t>Pago 12 de 20</t>
  </si>
  <si>
    <t>Pago 13 de 20</t>
  </si>
  <si>
    <t>Pago 14 de 20</t>
  </si>
  <si>
    <t>Pago 15 de 20</t>
  </si>
  <si>
    <t>Pago 16 de 20</t>
  </si>
  <si>
    <t>Pago 17 de 20</t>
  </si>
  <si>
    <t>Pago 18 de 20</t>
  </si>
  <si>
    <t>Pago 19 de 20</t>
  </si>
  <si>
    <t>Pago 20 de 20</t>
  </si>
  <si>
    <t>Pago 1 de 3</t>
  </si>
  <si>
    <t>Pago 2 de 3</t>
  </si>
  <si>
    <t>Pago 3 de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</si>
</sst>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14" fontId="0" fillId="0" borderId="0" xfId="0" applyNumberFormat="1"/>
    <xf numFmtId="44" fontId="0" fillId="0" borderId="0" xfId="1" applyFont="1"/>
    <xf numFmtId="1" fontId="0" fillId="0" borderId="0" xfId="1" applyNumberFormat="1" applyFont="1"/>
    <xf numFmtId="9" fontId="0" fillId="0" borderId="0" xfId="2" applyFont="1"/>
    <xf numFmtId="0" fontId="2" fillId="0" borderId="0" xfId="0" applyFont="1"/>
    <xf numFmtId="14" fontId="2" fillId="0" borderId="0" xfId="0" applyNumberFormat="1" applyFont="1"/>
    <xf numFmtId="44" fontId="2" fillId="0" borderId="0" xfId="0" applyNumberFormat="1" applyFont="1"/>
    <xf numFmtId="1" fontId="2" fillId="0" borderId="0" xfId="0" applyNumberFormat="1" applyFont="1"/>
    <xf numFmtId="9" fontId="2" fillId="0" borderId="0" xfId="0" applyNumberFormat="1" applyFont="1"/>
    <xf numFmtId="0" fontId="0" fillId="2" borderId="0" xfId="0" applyFill="1"/>
    <xf numFmtId="1" fontId="0" fillId="2" borderId="0" xfId="1" applyNumberFormat="1" applyFont="1" applyFill="1"/>
    <xf numFmtId="0" fontId="0" fillId="3" borderId="0" xfId="0" applyFill="1"/>
    <xf numFmtId="44" fontId="0" fillId="3" borderId="0" xfId="1" applyFont="1" applyFill="1"/>
    <xf numFmtId="14" fontId="0" fillId="3" borderId="0" xfId="0" applyNumberFormat="1" applyFill="1"/>
    <xf numFmtId="44" fontId="0" fillId="3" borderId="0" xfId="0" applyNumberFormat="1" applyFill="1"/>
    <xf numFmtId="0" fontId="0" fillId="4" borderId="0" xfId="0" applyFill="1"/>
    <xf numFmtId="44" fontId="0" fillId="4" borderId="0" xfId="1" applyFont="1" applyFill="1"/>
    <xf numFmtId="14" fontId="0" fillId="4" borderId="0" xfId="0" applyNumberFormat="1" applyFill="1"/>
    <xf numFmtId="44" fontId="0" fillId="4" borderId="0" xfId="0" applyNumberFormat="1" applyFill="1"/>
    <xf numFmtId="0" fontId="2" fillId="5" borderId="0" xfId="0" applyFont="1" applyFill="1"/>
    <xf numFmtId="1" fontId="2" fillId="5" borderId="0" xfId="0" applyNumberFormat="1" applyFont="1" applyFill="1"/>
    <xf numFmtId="0" fontId="0" fillId="5" borderId="0" xfId="0" applyFill="1"/>
    <xf numFmtId="0" fontId="2" fillId="6" borderId="0" xfId="0" applyFont="1" applyFill="1"/>
    <xf numFmtId="1" fontId="2" fillId="6" borderId="0" xfId="0" applyNumberFormat="1" applyFont="1" applyFill="1"/>
    <xf numFmtId="0" fontId="0" fillId="6" borderId="0" xfId="0" applyFill="1"/>
    <xf numFmtId="0" fontId="2" fillId="7" borderId="0" xfId="0" applyFont="1" applyFill="1"/>
    <xf numFmtId="1" fontId="2" fillId="7" borderId="0" xfId="0" applyNumberFormat="1" applyFont="1" applyFill="1"/>
    <xf numFmtId="0" fontId="0" fillId="7" borderId="0" xfId="0" applyFill="1"/>
    <xf numFmtId="0" fontId="2" fillId="8" borderId="0" xfId="0" applyFont="1" applyFill="1"/>
    <xf numFmtId="1" fontId="2" fillId="8" borderId="0" xfId="0" applyNumberFormat="1" applyFont="1" applyFill="1"/>
    <xf numFmtId="0" fontId="0" fillId="8" borderId="0" xfId="0" applyFill="1"/>
    <xf numFmtId="0" fontId="2" fillId="9" borderId="0" xfId="0" applyFont="1" applyFill="1"/>
    <xf numFmtId="1" fontId="2" fillId="9" borderId="0" xfId="0" applyNumberFormat="1" applyFont="1" applyFill="1"/>
    <xf numFmtId="0" fontId="0" fillId="9" borderId="0" xfId="0" applyFill="1"/>
  </cellXfs>
  <cellStyles count="3">
    <cellStyle name="Moneda" xfId="1" builtinId="4"/>
    <cellStyle name="Normal" xfId="0" builtinId="0"/>
    <cellStyle name="Porcentaje" xfId="2" builtinId="5"/>
  </cellStyles>
  <dxfs count="18">
    <dxf>
      <numFmt numFmtId="19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9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0169AC-20BF-6544-8DFE-78BCEED9D6FE}" name="Ventas" displayName="Ventas" ref="A1:O7" totalsRowShown="0" dataDxfId="17">
  <autoFilter ref="A1:O7" xr:uid="{960169AC-20BF-6544-8DFE-78BCEED9D6FE}"/>
  <tableColumns count="15">
    <tableColumn id="1" xr3:uid="{CB0F693E-A7C9-5A48-87E2-FE3BFB1FF549}" name="Folio" dataDxfId="16"/>
    <tableColumn id="2" xr3:uid="{F68E6BF6-8A00-124A-A325-05F1731DAA57}" name="Creada" dataDxfId="15"/>
    <tableColumn id="3" xr3:uid="{77C3DB9C-425C-4D4C-9564-38DC1AD98F4B}" name="Cliente" dataDxfId="14"/>
    <tableColumn id="4" xr3:uid="{2FE0D383-1A9F-6B4F-95D2-168710AB5678}" name="Tipo Cliente" dataDxfId="13"/>
    <tableColumn id="5" xr3:uid="{F16B60FF-05F3-6845-B2F3-634BF43D91E4}" name="Producto" dataDxfId="12"/>
    <tableColumn id="6" xr3:uid="{F2EC966E-23D7-6A4A-B84E-5433E164CFC0}" name="Precio Producto" dataDxfId="11"/>
    <tableColumn id="7" xr3:uid="{ACC19367-5871-F241-BC6D-04DAD94BF7AF}" name="Descuento" dataDxfId="10"/>
    <tableColumn id="8" xr3:uid="{45E36391-A23D-7443-B189-1100D392229A}" name="Precio" dataDxfId="9"/>
    <tableColumn id="9" xr3:uid="{9BD760E1-9800-8E4A-8F01-C2DB09BE4323}" name="Plazos" dataDxfId="8"/>
    <tableColumn id="10" xr3:uid="{994AD5AA-1139-FA4C-8865-289DD56CA2A5}" name="Anticipo" dataDxfId="7"/>
    <tableColumn id="11" xr3:uid="{72595E38-82F4-4749-B561-F71E0FCF5199}" name="Interes" dataDxfId="6"/>
    <tableColumn id="12" xr3:uid="{96FB208C-546C-F14B-9147-6EB0756E3F32}" name="Financiado" dataDxfId="5"/>
    <tableColumn id="13" xr3:uid="{1A72EF87-D6FB-3B4A-8C08-2883D5D70464}" name="Subtotal" dataDxfId="4"/>
    <tableColumn id="14" xr3:uid="{6066E7E1-9C2F-CD4A-869A-E5211DD3ADE5}" name="Total" dataDxfId="3"/>
    <tableColumn id="15" xr3:uid="{52BCE608-36B8-974A-B0AB-11235DE26CA6}" name="Semanal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7F41A3-B13C-714E-AEC6-A88A27C01D38}" name="Pagos" displayName="Pagos" ref="A1:D5" totalsRowShown="0">
  <autoFilter ref="A1:D5" xr:uid="{877F41A3-B13C-714E-AEC6-A88A27C01D38}"/>
  <tableColumns count="4">
    <tableColumn id="1" xr3:uid="{A617ADB8-AE9E-9F47-95AC-E5E0A8794F92}" name="Folio"/>
    <tableColumn id="2" xr3:uid="{62EDFD27-728A-AE47-8330-9DD5415B59D5}" name="Concepto"/>
    <tableColumn id="3" xr3:uid="{5FFF7204-D246-A947-B809-9995630054D2}" name="Monto Pagado" dataDxfId="1" dataCellStyle="Moneda"/>
    <tableColumn id="4" xr3:uid="{83B61E45-821E-6F4E-91E9-7E6B99036112}" name="Fecha Pag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59AA3-F8F9-BD42-96E0-9B670136FAA0}">
  <dimension ref="A1:O7"/>
  <sheetViews>
    <sheetView tabSelected="1" topLeftCell="D1" zoomScaleNormal="100" workbookViewId="0">
      <selection activeCell="I17" sqref="I17"/>
    </sheetView>
  </sheetViews>
  <sheetFormatPr baseColWidth="10" defaultRowHeight="16" x14ac:dyDescent="0.2"/>
  <cols>
    <col min="4" max="4" width="16.5" customWidth="1"/>
    <col min="5" max="5" width="11" customWidth="1"/>
    <col min="6" max="6" width="16.6640625" customWidth="1"/>
    <col min="7" max="7" width="12.5" customWidth="1"/>
    <col min="8" max="8" width="12.33203125" customWidth="1"/>
    <col min="9" max="11" width="11" bestFit="1" customWidth="1"/>
    <col min="12" max="12" width="17.6640625" customWidth="1"/>
    <col min="13" max="14" width="11.5" bestFit="1" customWidth="1"/>
    <col min="15" max="15" width="11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 spans="1:15" x14ac:dyDescent="0.2">
      <c r="A2">
        <v>123</v>
      </c>
      <c r="B2" s="1">
        <v>46135</v>
      </c>
      <c r="C2">
        <v>401</v>
      </c>
      <c r="D2" t="s">
        <v>4</v>
      </c>
      <c r="E2">
        <v>18</v>
      </c>
      <c r="F2" s="2">
        <v>9700</v>
      </c>
      <c r="G2" s="2">
        <v>0</v>
      </c>
      <c r="H2" s="2">
        <v>9700</v>
      </c>
      <c r="I2" s="3">
        <v>20</v>
      </c>
      <c r="J2" s="2">
        <v>1300</v>
      </c>
      <c r="K2" s="4">
        <v>1.7</v>
      </c>
      <c r="L2" s="2">
        <f>H2-J2</f>
        <v>8400</v>
      </c>
      <c r="M2" s="2">
        <f>L2*K2</f>
        <v>14280</v>
      </c>
      <c r="N2" s="2">
        <f>M2+J2</f>
        <v>15580</v>
      </c>
      <c r="O2" s="2">
        <f>M2/I2</f>
        <v>714</v>
      </c>
    </row>
    <row r="3" spans="1:15" x14ac:dyDescent="0.2">
      <c r="A3" s="5">
        <v>124</v>
      </c>
      <c r="B3" s="6">
        <v>46135</v>
      </c>
      <c r="C3" s="5">
        <v>501</v>
      </c>
      <c r="D3" s="5" t="s">
        <v>4</v>
      </c>
      <c r="E3" s="5">
        <v>11</v>
      </c>
      <c r="F3" s="7">
        <v>400</v>
      </c>
      <c r="G3" s="7">
        <v>0</v>
      </c>
      <c r="H3" s="7">
        <v>400</v>
      </c>
      <c r="I3" s="8">
        <v>3</v>
      </c>
      <c r="J3" s="7">
        <v>200</v>
      </c>
      <c r="K3" s="9">
        <v>1.5</v>
      </c>
      <c r="L3" s="7">
        <v>200</v>
      </c>
      <c r="M3" s="7">
        <v>300</v>
      </c>
      <c r="N3" s="7">
        <v>500</v>
      </c>
      <c r="O3" s="7">
        <v>100</v>
      </c>
    </row>
    <row r="4" spans="1:15" x14ac:dyDescent="0.2">
      <c r="A4" s="5">
        <v>125</v>
      </c>
      <c r="B4" s="6">
        <v>46137</v>
      </c>
      <c r="C4" s="5">
        <v>404</v>
      </c>
      <c r="D4" s="5" t="s">
        <v>16</v>
      </c>
      <c r="E4" s="5">
        <v>18</v>
      </c>
      <c r="F4" s="7">
        <v>9700</v>
      </c>
      <c r="G4" s="7">
        <v>400</v>
      </c>
      <c r="H4" s="7">
        <v>9300</v>
      </c>
      <c r="I4" s="8">
        <v>20</v>
      </c>
      <c r="J4" s="7">
        <v>0</v>
      </c>
      <c r="K4" s="9">
        <v>1.3</v>
      </c>
      <c r="L4" s="7">
        <v>9300</v>
      </c>
      <c r="M4" s="7">
        <v>12090</v>
      </c>
      <c r="N4" s="7">
        <v>12090</v>
      </c>
      <c r="O4" s="7">
        <v>604.5</v>
      </c>
    </row>
    <row r="5" spans="1:15" x14ac:dyDescent="0.2">
      <c r="A5" s="5">
        <v>126</v>
      </c>
      <c r="B5" s="6">
        <v>46137</v>
      </c>
      <c r="C5" s="5">
        <v>389</v>
      </c>
      <c r="D5" s="5" t="s">
        <v>4</v>
      </c>
      <c r="E5" s="5">
        <v>17</v>
      </c>
      <c r="F5" s="7">
        <v>1200</v>
      </c>
      <c r="G5" s="7">
        <v>0</v>
      </c>
      <c r="H5" s="7">
        <v>1200</v>
      </c>
      <c r="I5" s="8">
        <v>5</v>
      </c>
      <c r="J5" s="7">
        <v>100</v>
      </c>
      <c r="K5" s="9">
        <v>1.5</v>
      </c>
      <c r="L5" s="7">
        <v>1100</v>
      </c>
      <c r="M5" s="7">
        <v>1650</v>
      </c>
      <c r="N5" s="7">
        <v>1750</v>
      </c>
      <c r="O5" s="7">
        <v>330</v>
      </c>
    </row>
    <row r="6" spans="1:15" x14ac:dyDescent="0.2">
      <c r="A6" s="5">
        <v>127</v>
      </c>
      <c r="B6" s="6">
        <v>46137</v>
      </c>
      <c r="C6" s="5">
        <v>401</v>
      </c>
      <c r="D6" s="5" t="s">
        <v>4</v>
      </c>
      <c r="E6" s="5">
        <v>11</v>
      </c>
      <c r="F6" s="7">
        <v>400</v>
      </c>
      <c r="G6" s="7">
        <v>0</v>
      </c>
      <c r="H6" s="7">
        <v>400</v>
      </c>
      <c r="I6" s="8">
        <v>2</v>
      </c>
      <c r="J6" s="7">
        <v>200</v>
      </c>
      <c r="K6" s="9">
        <v>1.5</v>
      </c>
      <c r="L6" s="7">
        <v>200</v>
      </c>
      <c r="M6" s="7">
        <v>300</v>
      </c>
      <c r="N6" s="7">
        <v>500</v>
      </c>
      <c r="O6" s="7">
        <v>150</v>
      </c>
    </row>
    <row r="7" spans="1:15" x14ac:dyDescent="0.2">
      <c r="A7" s="5">
        <v>128</v>
      </c>
      <c r="B7" s="6">
        <v>46140</v>
      </c>
      <c r="C7" s="5">
        <v>897</v>
      </c>
      <c r="D7" s="5" t="s">
        <v>16</v>
      </c>
      <c r="E7" s="5">
        <v>25</v>
      </c>
      <c r="F7" s="7">
        <v>25000</v>
      </c>
      <c r="G7" s="7">
        <v>0</v>
      </c>
      <c r="H7" s="7">
        <v>25000</v>
      </c>
      <c r="I7" s="8">
        <v>43</v>
      </c>
      <c r="J7" s="7">
        <v>5000</v>
      </c>
      <c r="K7" s="9">
        <v>1.6</v>
      </c>
      <c r="L7" s="7">
        <v>20000</v>
      </c>
      <c r="M7" s="7">
        <v>32000</v>
      </c>
      <c r="N7" s="7">
        <v>37000</v>
      </c>
      <c r="O7" s="7">
        <v>744.19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6B20B-DDC2-C440-8F39-F88F8DF3ED6D}">
  <dimension ref="A1:D5"/>
  <sheetViews>
    <sheetView zoomScale="170" zoomScaleNormal="170" workbookViewId="0">
      <selection activeCell="B8" sqref="B8"/>
    </sheetView>
  </sheetViews>
  <sheetFormatPr baseColWidth="10" defaultRowHeight="16" x14ac:dyDescent="0.2"/>
  <cols>
    <col min="3" max="3" width="18.6640625" style="2" customWidth="1"/>
    <col min="4" max="4" width="12.83203125" customWidth="1"/>
  </cols>
  <sheetData>
    <row r="1" spans="1:4" x14ac:dyDescent="0.2">
      <c r="A1" t="s">
        <v>0</v>
      </c>
      <c r="B1" t="s">
        <v>17</v>
      </c>
      <c r="C1" s="2" t="s">
        <v>18</v>
      </c>
      <c r="D1" t="s">
        <v>19</v>
      </c>
    </row>
    <row r="2" spans="1:4" x14ac:dyDescent="0.2">
      <c r="A2">
        <v>123</v>
      </c>
      <c r="B2" t="s">
        <v>10</v>
      </c>
      <c r="C2" s="2">
        <v>1300</v>
      </c>
      <c r="D2" s="1">
        <v>46135</v>
      </c>
    </row>
    <row r="3" spans="1:4" x14ac:dyDescent="0.2">
      <c r="A3">
        <v>124</v>
      </c>
      <c r="B3" t="s">
        <v>10</v>
      </c>
      <c r="C3" s="2">
        <v>200</v>
      </c>
      <c r="D3" s="1">
        <v>46135</v>
      </c>
    </row>
    <row r="4" spans="1:4" x14ac:dyDescent="0.2">
      <c r="A4">
        <v>123</v>
      </c>
      <c r="B4" t="s">
        <v>20</v>
      </c>
      <c r="C4" s="2">
        <v>800</v>
      </c>
      <c r="D4" s="1">
        <v>46136</v>
      </c>
    </row>
    <row r="5" spans="1:4" x14ac:dyDescent="0.2">
      <c r="A5">
        <v>125</v>
      </c>
      <c r="B5" t="s">
        <v>10</v>
      </c>
      <c r="C5" s="2">
        <v>0</v>
      </c>
      <c r="D5" s="1">
        <v>46137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8F3BC-17E8-E34A-9730-E5789733679D}">
  <dimension ref="A1:J100"/>
  <sheetViews>
    <sheetView topLeftCell="B1" workbookViewId="0">
      <selection activeCell="F19" sqref="F19"/>
    </sheetView>
  </sheetViews>
  <sheetFormatPr baseColWidth="10" defaultRowHeight="16" x14ac:dyDescent="0.2"/>
  <cols>
    <col min="2" max="2" width="11" bestFit="1" customWidth="1"/>
    <col min="4" max="4" width="14.1640625" customWidth="1"/>
    <col min="5" max="5" width="15.6640625" style="2" customWidth="1"/>
    <col min="6" max="6" width="17.5" style="1" customWidth="1"/>
    <col min="7" max="7" width="24.5" style="2" customWidth="1"/>
    <col min="8" max="9" width="27.33203125" style="2" customWidth="1"/>
    <col min="10" max="10" width="29.5" bestFit="1" customWidth="1"/>
  </cols>
  <sheetData>
    <row r="1" spans="1:10" x14ac:dyDescent="0.2">
      <c r="A1" t="s">
        <v>0</v>
      </c>
      <c r="B1" t="s">
        <v>9</v>
      </c>
      <c r="C1" t="s">
        <v>21</v>
      </c>
      <c r="D1" t="s">
        <v>17</v>
      </c>
      <c r="E1" s="2" t="s">
        <v>22</v>
      </c>
      <c r="F1" s="1" t="s">
        <v>23</v>
      </c>
      <c r="G1" s="2" t="s">
        <v>26</v>
      </c>
      <c r="H1" s="2" t="s">
        <v>24</v>
      </c>
      <c r="I1" s="2" t="s">
        <v>27</v>
      </c>
      <c r="J1" t="s">
        <v>25</v>
      </c>
    </row>
    <row r="2" spans="1:10" x14ac:dyDescent="0.2">
      <c r="A2" s="10">
        <v>123</v>
      </c>
      <c r="B2" s="11">
        <v>20</v>
      </c>
      <c r="C2" s="10">
        <v>0</v>
      </c>
      <c r="D2" s="12" t="str">
        <f>IF(C2=0,"Anticipo", "Pago " &amp; C2 &amp; " de " &amp; B2)</f>
        <v>Anticipo</v>
      </c>
      <c r="E2" s="13">
        <f>VLOOKUP(A2,Ventas[],10,FALSE)</f>
        <v>1300</v>
      </c>
      <c r="F2" s="14">
        <f>VLOOKUP(A2,Ventas[],2,FALSE)</f>
        <v>46135</v>
      </c>
      <c r="G2" s="13">
        <f>VLOOKUP(A2,Ventas[],14,FALSE)</f>
        <v>15580</v>
      </c>
      <c r="H2" s="13">
        <v>0</v>
      </c>
      <c r="I2" s="13">
        <f>G2-E2</f>
        <v>14280</v>
      </c>
      <c r="J2" s="15">
        <f>H2+E2</f>
        <v>1300</v>
      </c>
    </row>
    <row r="3" spans="1:10" x14ac:dyDescent="0.2">
      <c r="A3" s="10">
        <v>123</v>
      </c>
      <c r="B3" s="11">
        <v>20</v>
      </c>
      <c r="C3" s="10">
        <v>1</v>
      </c>
      <c r="D3" s="16" t="str">
        <f t="shared" ref="D3:D26" si="0">IF(C3=0,"Anticipo", "Pago " &amp; C3 &amp; " de " &amp; B3)</f>
        <v>Pago 1 de 20</v>
      </c>
      <c r="E3" s="17">
        <f>VLOOKUP(A3,Ventas[],15,FALSE)</f>
        <v>714</v>
      </c>
      <c r="F3" s="18">
        <v>46142</v>
      </c>
      <c r="G3" s="17">
        <f>I2</f>
        <v>14280</v>
      </c>
      <c r="H3" s="17">
        <f>J2</f>
        <v>1300</v>
      </c>
      <c r="I3" s="17">
        <f>G3-E3</f>
        <v>13566</v>
      </c>
      <c r="J3" s="19">
        <f>H3+E3</f>
        <v>2014</v>
      </c>
    </row>
    <row r="4" spans="1:10" x14ac:dyDescent="0.2">
      <c r="A4" s="10">
        <v>123</v>
      </c>
      <c r="B4" s="11">
        <v>20</v>
      </c>
      <c r="C4" s="10">
        <v>2</v>
      </c>
      <c r="D4" s="16" t="str">
        <f t="shared" si="0"/>
        <v>Pago 2 de 20</v>
      </c>
      <c r="E4" s="17">
        <f>VLOOKUP(A4,Ventas[],15,FALSE)</f>
        <v>714</v>
      </c>
      <c r="F4" s="18">
        <v>46149</v>
      </c>
      <c r="G4" s="17">
        <f t="shared" ref="G4:G22" si="1">I3</f>
        <v>13566</v>
      </c>
      <c r="H4" s="17">
        <f t="shared" ref="H4:H22" si="2">J3</f>
        <v>2014</v>
      </c>
      <c r="I4" s="17">
        <f t="shared" ref="I4:I22" si="3">G4-E4</f>
        <v>12852</v>
      </c>
      <c r="J4" s="19">
        <f t="shared" ref="J4:J22" si="4">H4+E4</f>
        <v>2728</v>
      </c>
    </row>
    <row r="5" spans="1:10" x14ac:dyDescent="0.2">
      <c r="A5" s="10">
        <v>123</v>
      </c>
      <c r="B5" s="11">
        <v>20</v>
      </c>
      <c r="C5" s="10">
        <v>3</v>
      </c>
      <c r="D5" s="16" t="str">
        <f t="shared" si="0"/>
        <v>Pago 3 de 20</v>
      </c>
      <c r="E5" s="17">
        <f>VLOOKUP(A5,Ventas[],15,FALSE)</f>
        <v>714</v>
      </c>
      <c r="F5" s="18">
        <v>46156</v>
      </c>
      <c r="G5" s="17">
        <f t="shared" si="1"/>
        <v>12852</v>
      </c>
      <c r="H5" s="17">
        <f t="shared" si="2"/>
        <v>2728</v>
      </c>
      <c r="I5" s="17">
        <f t="shared" si="3"/>
        <v>12138</v>
      </c>
      <c r="J5" s="19">
        <f t="shared" si="4"/>
        <v>3442</v>
      </c>
    </row>
    <row r="6" spans="1:10" x14ac:dyDescent="0.2">
      <c r="A6" s="10">
        <v>123</v>
      </c>
      <c r="B6" s="11">
        <v>20</v>
      </c>
      <c r="C6" s="10">
        <v>4</v>
      </c>
      <c r="D6" s="16" t="str">
        <f t="shared" si="0"/>
        <v>Pago 4 de 20</v>
      </c>
      <c r="E6" s="17">
        <f>VLOOKUP(A6,Ventas[],15,FALSE)</f>
        <v>714</v>
      </c>
      <c r="F6" s="18">
        <v>46163</v>
      </c>
      <c r="G6" s="17">
        <f t="shared" si="1"/>
        <v>12138</v>
      </c>
      <c r="H6" s="17">
        <f t="shared" si="2"/>
        <v>3442</v>
      </c>
      <c r="I6" s="17">
        <f t="shared" si="3"/>
        <v>11424</v>
      </c>
      <c r="J6" s="19">
        <f t="shared" si="4"/>
        <v>4156</v>
      </c>
    </row>
    <row r="7" spans="1:10" x14ac:dyDescent="0.2">
      <c r="A7" s="10">
        <v>123</v>
      </c>
      <c r="B7" s="11">
        <v>20</v>
      </c>
      <c r="C7" s="10">
        <v>5</v>
      </c>
      <c r="D7" s="16" t="str">
        <f t="shared" si="0"/>
        <v>Pago 5 de 20</v>
      </c>
      <c r="E7" s="17">
        <f>VLOOKUP(A7,Ventas[],15,FALSE)</f>
        <v>714</v>
      </c>
      <c r="F7" s="18">
        <v>46170</v>
      </c>
      <c r="G7" s="17">
        <f t="shared" si="1"/>
        <v>11424</v>
      </c>
      <c r="H7" s="17">
        <f t="shared" si="2"/>
        <v>4156</v>
      </c>
      <c r="I7" s="17">
        <f t="shared" si="3"/>
        <v>10710</v>
      </c>
      <c r="J7" s="19">
        <f t="shared" si="4"/>
        <v>4870</v>
      </c>
    </row>
    <row r="8" spans="1:10" x14ac:dyDescent="0.2">
      <c r="A8" s="10">
        <v>123</v>
      </c>
      <c r="B8" s="11">
        <v>20</v>
      </c>
      <c r="C8" s="10">
        <v>6</v>
      </c>
      <c r="D8" s="16" t="str">
        <f t="shared" si="0"/>
        <v>Pago 6 de 20</v>
      </c>
      <c r="E8" s="17">
        <f>VLOOKUP(A8,Ventas[],15,FALSE)</f>
        <v>714</v>
      </c>
      <c r="F8" s="18">
        <v>46177</v>
      </c>
      <c r="G8" s="17">
        <f t="shared" si="1"/>
        <v>10710</v>
      </c>
      <c r="H8" s="17">
        <f t="shared" si="2"/>
        <v>4870</v>
      </c>
      <c r="I8" s="17">
        <f t="shared" si="3"/>
        <v>9996</v>
      </c>
      <c r="J8" s="19">
        <f t="shared" si="4"/>
        <v>5584</v>
      </c>
    </row>
    <row r="9" spans="1:10" x14ac:dyDescent="0.2">
      <c r="A9" s="10">
        <v>123</v>
      </c>
      <c r="B9" s="11">
        <v>20</v>
      </c>
      <c r="C9" s="10">
        <v>7</v>
      </c>
      <c r="D9" s="16" t="str">
        <f t="shared" si="0"/>
        <v>Pago 7 de 20</v>
      </c>
      <c r="E9" s="17">
        <f>VLOOKUP(A9,Ventas[],15,FALSE)</f>
        <v>714</v>
      </c>
      <c r="F9" s="18">
        <v>46184</v>
      </c>
      <c r="G9" s="17">
        <f t="shared" si="1"/>
        <v>9996</v>
      </c>
      <c r="H9" s="17">
        <f t="shared" si="2"/>
        <v>5584</v>
      </c>
      <c r="I9" s="17">
        <f t="shared" si="3"/>
        <v>9282</v>
      </c>
      <c r="J9" s="19">
        <f t="shared" si="4"/>
        <v>6298</v>
      </c>
    </row>
    <row r="10" spans="1:10" x14ac:dyDescent="0.2">
      <c r="A10" s="10">
        <v>123</v>
      </c>
      <c r="B10" s="11">
        <v>20</v>
      </c>
      <c r="C10" s="10">
        <v>8</v>
      </c>
      <c r="D10" s="16" t="str">
        <f t="shared" si="0"/>
        <v>Pago 8 de 20</v>
      </c>
      <c r="E10" s="17">
        <f>VLOOKUP(A10,Ventas[],15,FALSE)</f>
        <v>714</v>
      </c>
      <c r="F10" s="18">
        <v>46191</v>
      </c>
      <c r="G10" s="17">
        <f t="shared" si="1"/>
        <v>9282</v>
      </c>
      <c r="H10" s="17">
        <f t="shared" si="2"/>
        <v>6298</v>
      </c>
      <c r="I10" s="17">
        <f t="shared" si="3"/>
        <v>8568</v>
      </c>
      <c r="J10" s="19">
        <f t="shared" si="4"/>
        <v>7012</v>
      </c>
    </row>
    <row r="11" spans="1:10" x14ac:dyDescent="0.2">
      <c r="A11" s="10">
        <v>123</v>
      </c>
      <c r="B11" s="11">
        <v>20</v>
      </c>
      <c r="C11" s="10">
        <v>9</v>
      </c>
      <c r="D11" s="16" t="str">
        <f t="shared" si="0"/>
        <v>Pago 9 de 20</v>
      </c>
      <c r="E11" s="17">
        <f>VLOOKUP(A11,Ventas[],15,FALSE)</f>
        <v>714</v>
      </c>
      <c r="F11" s="18">
        <v>46198</v>
      </c>
      <c r="G11" s="17">
        <f t="shared" si="1"/>
        <v>8568</v>
      </c>
      <c r="H11" s="17">
        <f t="shared" si="2"/>
        <v>7012</v>
      </c>
      <c r="I11" s="17">
        <f t="shared" si="3"/>
        <v>7854</v>
      </c>
      <c r="J11" s="19">
        <f t="shared" si="4"/>
        <v>7726</v>
      </c>
    </row>
    <row r="12" spans="1:10" x14ac:dyDescent="0.2">
      <c r="A12" s="10">
        <v>123</v>
      </c>
      <c r="B12" s="11">
        <v>20</v>
      </c>
      <c r="C12" s="10">
        <v>10</v>
      </c>
      <c r="D12" s="16" t="str">
        <f t="shared" si="0"/>
        <v>Pago 10 de 20</v>
      </c>
      <c r="E12" s="17">
        <f>VLOOKUP(A12,Ventas[],15,FALSE)</f>
        <v>714</v>
      </c>
      <c r="F12" s="18">
        <v>46205</v>
      </c>
      <c r="G12" s="17">
        <f t="shared" si="1"/>
        <v>7854</v>
      </c>
      <c r="H12" s="17">
        <f t="shared" si="2"/>
        <v>7726</v>
      </c>
      <c r="I12" s="17">
        <f t="shared" si="3"/>
        <v>7140</v>
      </c>
      <c r="J12" s="19">
        <f t="shared" si="4"/>
        <v>8440</v>
      </c>
    </row>
    <row r="13" spans="1:10" x14ac:dyDescent="0.2">
      <c r="A13" s="10">
        <v>123</v>
      </c>
      <c r="B13" s="11">
        <v>20</v>
      </c>
      <c r="C13" s="10">
        <v>11</v>
      </c>
      <c r="D13" s="16" t="str">
        <f t="shared" si="0"/>
        <v>Pago 11 de 20</v>
      </c>
      <c r="E13" s="17">
        <f>VLOOKUP(A13,Ventas[],15,FALSE)</f>
        <v>714</v>
      </c>
      <c r="F13" s="18">
        <v>46212</v>
      </c>
      <c r="G13" s="17">
        <f t="shared" si="1"/>
        <v>7140</v>
      </c>
      <c r="H13" s="17">
        <f t="shared" si="2"/>
        <v>8440</v>
      </c>
      <c r="I13" s="17">
        <f t="shared" si="3"/>
        <v>6426</v>
      </c>
      <c r="J13" s="19">
        <f t="shared" si="4"/>
        <v>9154</v>
      </c>
    </row>
    <row r="14" spans="1:10" x14ac:dyDescent="0.2">
      <c r="A14" s="10">
        <v>123</v>
      </c>
      <c r="B14" s="11">
        <v>20</v>
      </c>
      <c r="C14" s="10">
        <v>12</v>
      </c>
      <c r="D14" s="16" t="str">
        <f t="shared" si="0"/>
        <v>Pago 12 de 20</v>
      </c>
      <c r="E14" s="17">
        <f>VLOOKUP(A14,Ventas[],15,FALSE)</f>
        <v>714</v>
      </c>
      <c r="F14" s="18">
        <v>46219</v>
      </c>
      <c r="G14" s="17">
        <f t="shared" si="1"/>
        <v>6426</v>
      </c>
      <c r="H14" s="17">
        <f t="shared" si="2"/>
        <v>9154</v>
      </c>
      <c r="I14" s="17">
        <f t="shared" si="3"/>
        <v>5712</v>
      </c>
      <c r="J14" s="19">
        <f t="shared" si="4"/>
        <v>9868</v>
      </c>
    </row>
    <row r="15" spans="1:10" x14ac:dyDescent="0.2">
      <c r="A15" s="10">
        <v>123</v>
      </c>
      <c r="B15" s="11">
        <v>20</v>
      </c>
      <c r="C15" s="10">
        <v>13</v>
      </c>
      <c r="D15" s="16" t="str">
        <f t="shared" si="0"/>
        <v>Pago 13 de 20</v>
      </c>
      <c r="E15" s="17">
        <f>VLOOKUP(A15,Ventas[],15,FALSE)</f>
        <v>714</v>
      </c>
      <c r="F15" s="18">
        <v>46226</v>
      </c>
      <c r="G15" s="17">
        <f t="shared" si="1"/>
        <v>5712</v>
      </c>
      <c r="H15" s="17">
        <f t="shared" si="2"/>
        <v>9868</v>
      </c>
      <c r="I15" s="17">
        <f t="shared" si="3"/>
        <v>4998</v>
      </c>
      <c r="J15" s="19">
        <f t="shared" si="4"/>
        <v>10582</v>
      </c>
    </row>
    <row r="16" spans="1:10" x14ac:dyDescent="0.2">
      <c r="A16" s="10">
        <v>123</v>
      </c>
      <c r="B16" s="11">
        <v>20</v>
      </c>
      <c r="C16" s="10">
        <v>14</v>
      </c>
      <c r="D16" s="16" t="str">
        <f t="shared" si="0"/>
        <v>Pago 14 de 20</v>
      </c>
      <c r="E16" s="17">
        <f>VLOOKUP(A16,Ventas[],15,FALSE)</f>
        <v>714</v>
      </c>
      <c r="F16" s="18">
        <v>46233</v>
      </c>
      <c r="G16" s="17">
        <f t="shared" si="1"/>
        <v>4998</v>
      </c>
      <c r="H16" s="17">
        <f t="shared" si="2"/>
        <v>10582</v>
      </c>
      <c r="I16" s="17">
        <f t="shared" si="3"/>
        <v>4284</v>
      </c>
      <c r="J16" s="19">
        <f t="shared" si="4"/>
        <v>11296</v>
      </c>
    </row>
    <row r="17" spans="1:10" x14ac:dyDescent="0.2">
      <c r="A17" s="10">
        <v>123</v>
      </c>
      <c r="B17" s="11">
        <v>20</v>
      </c>
      <c r="C17" s="10">
        <v>15</v>
      </c>
      <c r="D17" s="16" t="str">
        <f t="shared" si="0"/>
        <v>Pago 15 de 20</v>
      </c>
      <c r="E17" s="17">
        <f>VLOOKUP(A17,Ventas[],15,FALSE)</f>
        <v>714</v>
      </c>
      <c r="F17" s="18">
        <v>46240</v>
      </c>
      <c r="G17" s="17">
        <f t="shared" si="1"/>
        <v>4284</v>
      </c>
      <c r="H17" s="17">
        <f t="shared" si="2"/>
        <v>11296</v>
      </c>
      <c r="I17" s="17">
        <f t="shared" si="3"/>
        <v>3570</v>
      </c>
      <c r="J17" s="19">
        <f t="shared" si="4"/>
        <v>12010</v>
      </c>
    </row>
    <row r="18" spans="1:10" x14ac:dyDescent="0.2">
      <c r="A18" s="10">
        <v>123</v>
      </c>
      <c r="B18" s="11">
        <v>20</v>
      </c>
      <c r="C18" s="10">
        <v>16</v>
      </c>
      <c r="D18" s="16" t="str">
        <f t="shared" si="0"/>
        <v>Pago 16 de 20</v>
      </c>
      <c r="E18" s="17">
        <f>VLOOKUP(A18,Ventas[],15,FALSE)</f>
        <v>714</v>
      </c>
      <c r="F18" s="18">
        <v>46247</v>
      </c>
      <c r="G18" s="17">
        <f t="shared" si="1"/>
        <v>3570</v>
      </c>
      <c r="H18" s="17">
        <f t="shared" si="2"/>
        <v>12010</v>
      </c>
      <c r="I18" s="17">
        <f t="shared" si="3"/>
        <v>2856</v>
      </c>
      <c r="J18" s="19">
        <f t="shared" si="4"/>
        <v>12724</v>
      </c>
    </row>
    <row r="19" spans="1:10" x14ac:dyDescent="0.2">
      <c r="A19" s="10">
        <v>123</v>
      </c>
      <c r="B19" s="11">
        <v>20</v>
      </c>
      <c r="C19" s="10">
        <v>17</v>
      </c>
      <c r="D19" s="16" t="str">
        <f t="shared" si="0"/>
        <v>Pago 17 de 20</v>
      </c>
      <c r="E19" s="17">
        <f>VLOOKUP(A19,Ventas[],15,FALSE)</f>
        <v>714</v>
      </c>
      <c r="F19" s="18">
        <v>46254</v>
      </c>
      <c r="G19" s="17">
        <f t="shared" si="1"/>
        <v>2856</v>
      </c>
      <c r="H19" s="17">
        <f t="shared" si="2"/>
        <v>12724</v>
      </c>
      <c r="I19" s="17">
        <f t="shared" si="3"/>
        <v>2142</v>
      </c>
      <c r="J19" s="19">
        <f t="shared" si="4"/>
        <v>13438</v>
      </c>
    </row>
    <row r="20" spans="1:10" x14ac:dyDescent="0.2">
      <c r="A20" s="10">
        <v>123</v>
      </c>
      <c r="B20" s="11">
        <v>20</v>
      </c>
      <c r="C20" s="10">
        <v>18</v>
      </c>
      <c r="D20" s="16" t="str">
        <f t="shared" si="0"/>
        <v>Pago 18 de 20</v>
      </c>
      <c r="E20" s="17">
        <f>VLOOKUP(A20,Ventas[],15,FALSE)</f>
        <v>714</v>
      </c>
      <c r="F20" s="18">
        <v>46261</v>
      </c>
      <c r="G20" s="17">
        <f t="shared" si="1"/>
        <v>2142</v>
      </c>
      <c r="H20" s="17">
        <f t="shared" si="2"/>
        <v>13438</v>
      </c>
      <c r="I20" s="17">
        <f t="shared" si="3"/>
        <v>1428</v>
      </c>
      <c r="J20" s="19">
        <f t="shared" si="4"/>
        <v>14152</v>
      </c>
    </row>
    <row r="21" spans="1:10" x14ac:dyDescent="0.2">
      <c r="A21" s="10">
        <v>123</v>
      </c>
      <c r="B21" s="11">
        <v>20</v>
      </c>
      <c r="C21" s="10">
        <v>19</v>
      </c>
      <c r="D21" s="16" t="str">
        <f t="shared" si="0"/>
        <v>Pago 19 de 20</v>
      </c>
      <c r="E21" s="17">
        <f>VLOOKUP(A21,Ventas[],15,FALSE)</f>
        <v>714</v>
      </c>
      <c r="F21" s="18">
        <v>46268</v>
      </c>
      <c r="G21" s="17">
        <f t="shared" si="1"/>
        <v>1428</v>
      </c>
      <c r="H21" s="17">
        <f t="shared" si="2"/>
        <v>14152</v>
      </c>
      <c r="I21" s="17">
        <f t="shared" si="3"/>
        <v>714</v>
      </c>
      <c r="J21" s="19">
        <f t="shared" si="4"/>
        <v>14866</v>
      </c>
    </row>
    <row r="22" spans="1:10" x14ac:dyDescent="0.2">
      <c r="A22" s="10">
        <v>123</v>
      </c>
      <c r="B22" s="11">
        <v>20</v>
      </c>
      <c r="C22" s="10">
        <v>20</v>
      </c>
      <c r="D22" s="16" t="str">
        <f t="shared" si="0"/>
        <v>Pago 20 de 20</v>
      </c>
      <c r="E22" s="17">
        <f>VLOOKUP(A22,Ventas[],15,FALSE)</f>
        <v>714</v>
      </c>
      <c r="F22" s="18">
        <v>46275</v>
      </c>
      <c r="G22" s="17">
        <f t="shared" si="1"/>
        <v>714</v>
      </c>
      <c r="H22" s="17">
        <f t="shared" si="2"/>
        <v>14866</v>
      </c>
      <c r="I22" s="17">
        <f t="shared" si="3"/>
        <v>0</v>
      </c>
      <c r="J22" s="19">
        <f t="shared" si="4"/>
        <v>15580</v>
      </c>
    </row>
    <row r="23" spans="1:10" x14ac:dyDescent="0.2">
      <c r="A23" s="20">
        <v>124</v>
      </c>
      <c r="B23" s="21">
        <v>3</v>
      </c>
      <c r="C23" s="22">
        <v>0</v>
      </c>
      <c r="D23" s="12" t="str">
        <f t="shared" si="0"/>
        <v>Anticipo</v>
      </c>
      <c r="E23" s="13">
        <f>VLOOKUP(A23,Ventas[],10,FALSE)</f>
        <v>200</v>
      </c>
      <c r="F23" s="14">
        <f>VLOOKUP(A23,Ventas[],2,FALSE)</f>
        <v>46135</v>
      </c>
      <c r="G23" s="13">
        <f>VLOOKUP(A23,Ventas[],14,FALSE)</f>
        <v>500</v>
      </c>
      <c r="H23" s="13">
        <v>0</v>
      </c>
      <c r="I23" s="13">
        <f t="shared" ref="I23:I28" si="5">G23-E23</f>
        <v>300</v>
      </c>
      <c r="J23" s="15">
        <f t="shared" ref="J23:J28" si="6">H23+E23</f>
        <v>200</v>
      </c>
    </row>
    <row r="24" spans="1:10" x14ac:dyDescent="0.2">
      <c r="A24" s="20">
        <v>124</v>
      </c>
      <c r="B24" s="21">
        <v>3</v>
      </c>
      <c r="C24" s="22">
        <v>1</v>
      </c>
      <c r="D24" s="16" t="str">
        <f t="shared" si="0"/>
        <v>Pago 1 de 3</v>
      </c>
      <c r="E24" s="17">
        <f>VLOOKUP(A24,Ventas[],15,FALSE)</f>
        <v>100</v>
      </c>
      <c r="F24" s="18">
        <v>46142</v>
      </c>
      <c r="G24" s="17">
        <f t="shared" ref="G24:H26" si="7">I23</f>
        <v>300</v>
      </c>
      <c r="H24" s="17">
        <f t="shared" si="7"/>
        <v>200</v>
      </c>
      <c r="I24" s="17">
        <f t="shared" si="5"/>
        <v>200</v>
      </c>
      <c r="J24" s="19">
        <f t="shared" si="6"/>
        <v>300</v>
      </c>
    </row>
    <row r="25" spans="1:10" x14ac:dyDescent="0.2">
      <c r="A25" s="20">
        <v>124</v>
      </c>
      <c r="B25" s="21">
        <v>3</v>
      </c>
      <c r="C25" s="22">
        <v>2</v>
      </c>
      <c r="D25" s="16" t="str">
        <f t="shared" si="0"/>
        <v>Pago 2 de 3</v>
      </c>
      <c r="E25" s="17">
        <f>VLOOKUP(A25,Ventas[],15,FALSE)</f>
        <v>100</v>
      </c>
      <c r="F25" s="18">
        <v>46143</v>
      </c>
      <c r="G25" s="17">
        <f t="shared" si="7"/>
        <v>200</v>
      </c>
      <c r="H25" s="17">
        <f t="shared" si="7"/>
        <v>300</v>
      </c>
      <c r="I25" s="17">
        <f t="shared" si="5"/>
        <v>100</v>
      </c>
      <c r="J25" s="19">
        <f t="shared" si="6"/>
        <v>400</v>
      </c>
    </row>
    <row r="26" spans="1:10" x14ac:dyDescent="0.2">
      <c r="A26" s="20">
        <v>124</v>
      </c>
      <c r="B26" s="21">
        <v>3</v>
      </c>
      <c r="C26" s="22">
        <v>3</v>
      </c>
      <c r="D26" s="16" t="str">
        <f t="shared" si="0"/>
        <v>Pago 3 de 3</v>
      </c>
      <c r="E26" s="17">
        <f>VLOOKUP(A26,Ventas[],15,FALSE)</f>
        <v>100</v>
      </c>
      <c r="F26" s="18">
        <v>46144</v>
      </c>
      <c r="G26" s="17">
        <f t="shared" si="7"/>
        <v>100</v>
      </c>
      <c r="H26" s="17">
        <f t="shared" si="7"/>
        <v>400</v>
      </c>
      <c r="I26" s="17">
        <f t="shared" si="5"/>
        <v>0</v>
      </c>
      <c r="J26" s="19">
        <f t="shared" si="6"/>
        <v>500</v>
      </c>
    </row>
    <row r="27" spans="1:10" x14ac:dyDescent="0.2">
      <c r="A27" s="23">
        <v>125</v>
      </c>
      <c r="B27" s="24">
        <v>20</v>
      </c>
      <c r="C27" s="25">
        <v>0</v>
      </c>
      <c r="D27" s="12" t="str">
        <f>IF(C27=0,"Anticipo", "Pago " &amp; C27 &amp; " de " &amp; B27)</f>
        <v>Anticipo</v>
      </c>
      <c r="E27" s="13">
        <f>VLOOKUP(A27,Ventas[],10,FALSE)</f>
        <v>0</v>
      </c>
      <c r="F27" s="14">
        <f>VLOOKUP(A27,Ventas[],2,FALSE)</f>
        <v>46137</v>
      </c>
      <c r="G27" s="13">
        <f>VLOOKUP(A27,Ventas[],14,FALSE)</f>
        <v>12090</v>
      </c>
      <c r="H27" s="13">
        <v>0</v>
      </c>
      <c r="I27" s="13">
        <f t="shared" si="5"/>
        <v>12090</v>
      </c>
      <c r="J27" s="15">
        <f t="shared" si="6"/>
        <v>0</v>
      </c>
    </row>
    <row r="28" spans="1:10" x14ac:dyDescent="0.2">
      <c r="A28" s="25">
        <v>125</v>
      </c>
      <c r="B28" s="25">
        <v>20</v>
      </c>
      <c r="C28" s="25">
        <v>1</v>
      </c>
      <c r="D28" s="16" t="str">
        <f>IF(C28=0,"Anticipo", "Pago " &amp; C28 &amp; " de " &amp; B28)</f>
        <v>Pago 1 de 20</v>
      </c>
      <c r="E28" s="17">
        <f>VLOOKUP(A28,Ventas[],15,FALSE)</f>
        <v>604.5</v>
      </c>
      <c r="F28" s="18">
        <v>46142</v>
      </c>
      <c r="G28" s="17">
        <f>I27</f>
        <v>12090</v>
      </c>
      <c r="H28" s="17">
        <f>J27</f>
        <v>0</v>
      </c>
      <c r="I28" s="17">
        <f t="shared" si="5"/>
        <v>11485.5</v>
      </c>
      <c r="J28" s="19">
        <f t="shared" si="6"/>
        <v>604.5</v>
      </c>
    </row>
    <row r="29" spans="1:10" x14ac:dyDescent="0.2">
      <c r="A29" s="23">
        <v>125</v>
      </c>
      <c r="B29" s="24">
        <v>20</v>
      </c>
      <c r="C29" s="25">
        <v>2</v>
      </c>
      <c r="D29" s="16" t="str">
        <f t="shared" ref="D29:D49" si="8">IF(C29=0,"Anticipo", "Pago " &amp; C29 &amp; " de " &amp; B29)</f>
        <v>Pago 2 de 20</v>
      </c>
      <c r="E29" s="17">
        <f>VLOOKUP(A29,Ventas[],15,FALSE)</f>
        <v>604.5</v>
      </c>
      <c r="F29" s="18">
        <v>46143</v>
      </c>
      <c r="G29" s="17">
        <f t="shared" ref="G29:G47" si="9">I28</f>
        <v>11485.5</v>
      </c>
      <c r="H29" s="17">
        <f t="shared" ref="H29:H47" si="10">J28</f>
        <v>604.5</v>
      </c>
      <c r="I29" s="17">
        <f t="shared" ref="I29:I47" si="11">G29-E29</f>
        <v>10881</v>
      </c>
      <c r="J29" s="19">
        <f t="shared" ref="J29:J47" si="12">H29+E29</f>
        <v>1209</v>
      </c>
    </row>
    <row r="30" spans="1:10" x14ac:dyDescent="0.2">
      <c r="A30" s="25">
        <v>125</v>
      </c>
      <c r="B30" s="25">
        <v>20</v>
      </c>
      <c r="C30" s="25">
        <v>3</v>
      </c>
      <c r="D30" s="16" t="str">
        <f t="shared" si="8"/>
        <v>Pago 3 de 20</v>
      </c>
      <c r="E30" s="17">
        <f>VLOOKUP(A30,Ventas[],15,FALSE)</f>
        <v>604.5</v>
      </c>
      <c r="F30" s="18">
        <v>46144</v>
      </c>
      <c r="G30" s="17">
        <f t="shared" si="9"/>
        <v>10881</v>
      </c>
      <c r="H30" s="17">
        <f t="shared" si="10"/>
        <v>1209</v>
      </c>
      <c r="I30" s="17">
        <f t="shared" si="11"/>
        <v>10276.5</v>
      </c>
      <c r="J30" s="19">
        <f t="shared" si="12"/>
        <v>1813.5</v>
      </c>
    </row>
    <row r="31" spans="1:10" x14ac:dyDescent="0.2">
      <c r="A31" s="23">
        <v>125</v>
      </c>
      <c r="B31" s="24">
        <v>20</v>
      </c>
      <c r="C31" s="25">
        <v>4</v>
      </c>
      <c r="D31" s="16" t="str">
        <f t="shared" si="8"/>
        <v>Pago 4 de 20</v>
      </c>
      <c r="E31" s="17">
        <f>VLOOKUP(A31,Ventas[],15,FALSE)</f>
        <v>604.5</v>
      </c>
      <c r="F31" s="18">
        <v>46145</v>
      </c>
      <c r="G31" s="17">
        <f t="shared" si="9"/>
        <v>10276.5</v>
      </c>
      <c r="H31" s="17">
        <f t="shared" si="10"/>
        <v>1813.5</v>
      </c>
      <c r="I31" s="17">
        <f t="shared" si="11"/>
        <v>9672</v>
      </c>
      <c r="J31" s="19">
        <f t="shared" si="12"/>
        <v>2418</v>
      </c>
    </row>
    <row r="32" spans="1:10" x14ac:dyDescent="0.2">
      <c r="A32" s="25">
        <v>125</v>
      </c>
      <c r="B32" s="25">
        <v>20</v>
      </c>
      <c r="C32" s="25">
        <v>5</v>
      </c>
      <c r="D32" s="16" t="str">
        <f t="shared" si="8"/>
        <v>Pago 5 de 20</v>
      </c>
      <c r="E32" s="17">
        <f>VLOOKUP(A32,Ventas[],15,FALSE)</f>
        <v>604.5</v>
      </c>
      <c r="F32" s="18">
        <v>46146</v>
      </c>
      <c r="G32" s="17">
        <f t="shared" si="9"/>
        <v>9672</v>
      </c>
      <c r="H32" s="17">
        <f t="shared" si="10"/>
        <v>2418</v>
      </c>
      <c r="I32" s="17">
        <f t="shared" si="11"/>
        <v>9067.5</v>
      </c>
      <c r="J32" s="19">
        <f t="shared" si="12"/>
        <v>3022.5</v>
      </c>
    </row>
    <row r="33" spans="1:10" x14ac:dyDescent="0.2">
      <c r="A33" s="23">
        <v>125</v>
      </c>
      <c r="B33" s="24">
        <v>20</v>
      </c>
      <c r="C33" s="25">
        <v>6</v>
      </c>
      <c r="D33" s="16" t="str">
        <f t="shared" si="8"/>
        <v>Pago 6 de 20</v>
      </c>
      <c r="E33" s="17">
        <f>VLOOKUP(A33,Ventas[],15,FALSE)</f>
        <v>604.5</v>
      </c>
      <c r="F33" s="18">
        <v>46147</v>
      </c>
      <c r="G33" s="17">
        <f t="shared" si="9"/>
        <v>9067.5</v>
      </c>
      <c r="H33" s="17">
        <f t="shared" si="10"/>
        <v>3022.5</v>
      </c>
      <c r="I33" s="17">
        <f t="shared" si="11"/>
        <v>8463</v>
      </c>
      <c r="J33" s="19">
        <f t="shared" si="12"/>
        <v>3627</v>
      </c>
    </row>
    <row r="34" spans="1:10" x14ac:dyDescent="0.2">
      <c r="A34" s="25">
        <v>125</v>
      </c>
      <c r="B34" s="25">
        <v>20</v>
      </c>
      <c r="C34" s="25">
        <v>7</v>
      </c>
      <c r="D34" s="16" t="str">
        <f t="shared" si="8"/>
        <v>Pago 7 de 20</v>
      </c>
      <c r="E34" s="17">
        <f>VLOOKUP(A34,Ventas[],15,FALSE)</f>
        <v>604.5</v>
      </c>
      <c r="F34" s="18">
        <v>46148</v>
      </c>
      <c r="G34" s="17">
        <f t="shared" si="9"/>
        <v>8463</v>
      </c>
      <c r="H34" s="17">
        <f t="shared" si="10"/>
        <v>3627</v>
      </c>
      <c r="I34" s="17">
        <f t="shared" si="11"/>
        <v>7858.5</v>
      </c>
      <c r="J34" s="19">
        <f t="shared" si="12"/>
        <v>4231.5</v>
      </c>
    </row>
    <row r="35" spans="1:10" x14ac:dyDescent="0.2">
      <c r="A35" s="23">
        <v>125</v>
      </c>
      <c r="B35" s="24">
        <v>20</v>
      </c>
      <c r="C35" s="25">
        <v>8</v>
      </c>
      <c r="D35" s="16" t="str">
        <f t="shared" si="8"/>
        <v>Pago 8 de 20</v>
      </c>
      <c r="E35" s="17">
        <f>VLOOKUP(A35,Ventas[],15,FALSE)</f>
        <v>604.5</v>
      </c>
      <c r="F35" s="18">
        <v>46149</v>
      </c>
      <c r="G35" s="17">
        <f t="shared" si="9"/>
        <v>7858.5</v>
      </c>
      <c r="H35" s="17">
        <f t="shared" si="10"/>
        <v>4231.5</v>
      </c>
      <c r="I35" s="17">
        <f t="shared" si="11"/>
        <v>7254</v>
      </c>
      <c r="J35" s="19">
        <f t="shared" si="12"/>
        <v>4836</v>
      </c>
    </row>
    <row r="36" spans="1:10" x14ac:dyDescent="0.2">
      <c r="A36" s="25">
        <v>125</v>
      </c>
      <c r="B36" s="25">
        <v>20</v>
      </c>
      <c r="C36" s="25">
        <v>9</v>
      </c>
      <c r="D36" s="16" t="str">
        <f t="shared" si="8"/>
        <v>Pago 9 de 20</v>
      </c>
      <c r="E36" s="17">
        <f>VLOOKUP(A36,Ventas[],15,FALSE)</f>
        <v>604.5</v>
      </c>
      <c r="F36" s="18">
        <v>46150</v>
      </c>
      <c r="G36" s="17">
        <f t="shared" si="9"/>
        <v>7254</v>
      </c>
      <c r="H36" s="17">
        <f t="shared" si="10"/>
        <v>4836</v>
      </c>
      <c r="I36" s="17">
        <f t="shared" si="11"/>
        <v>6649.5</v>
      </c>
      <c r="J36" s="19">
        <f t="shared" si="12"/>
        <v>5440.5</v>
      </c>
    </row>
    <row r="37" spans="1:10" x14ac:dyDescent="0.2">
      <c r="A37" s="23">
        <v>125</v>
      </c>
      <c r="B37" s="24">
        <v>20</v>
      </c>
      <c r="C37" s="25">
        <v>10</v>
      </c>
      <c r="D37" s="16" t="str">
        <f t="shared" si="8"/>
        <v>Pago 10 de 20</v>
      </c>
      <c r="E37" s="17">
        <f>VLOOKUP(A37,Ventas[],15,FALSE)</f>
        <v>604.5</v>
      </c>
      <c r="F37" s="18">
        <v>46151</v>
      </c>
      <c r="G37" s="17">
        <f t="shared" si="9"/>
        <v>6649.5</v>
      </c>
      <c r="H37" s="17">
        <f t="shared" si="10"/>
        <v>5440.5</v>
      </c>
      <c r="I37" s="17">
        <f t="shared" si="11"/>
        <v>6045</v>
      </c>
      <c r="J37" s="19">
        <f t="shared" si="12"/>
        <v>6045</v>
      </c>
    </row>
    <row r="38" spans="1:10" x14ac:dyDescent="0.2">
      <c r="A38" s="25">
        <v>125</v>
      </c>
      <c r="B38" s="25">
        <v>20</v>
      </c>
      <c r="C38" s="25">
        <v>11</v>
      </c>
      <c r="D38" s="16" t="str">
        <f t="shared" si="8"/>
        <v>Pago 11 de 20</v>
      </c>
      <c r="E38" s="17">
        <f>VLOOKUP(A38,Ventas[],15,FALSE)</f>
        <v>604.5</v>
      </c>
      <c r="F38" s="18">
        <v>46152</v>
      </c>
      <c r="G38" s="17">
        <f t="shared" si="9"/>
        <v>6045</v>
      </c>
      <c r="H38" s="17">
        <f t="shared" si="10"/>
        <v>6045</v>
      </c>
      <c r="I38" s="17">
        <f t="shared" si="11"/>
        <v>5440.5</v>
      </c>
      <c r="J38" s="19">
        <f t="shared" si="12"/>
        <v>6649.5</v>
      </c>
    </row>
    <row r="39" spans="1:10" x14ac:dyDescent="0.2">
      <c r="A39" s="23">
        <v>125</v>
      </c>
      <c r="B39" s="24">
        <v>20</v>
      </c>
      <c r="C39" s="25">
        <v>12</v>
      </c>
      <c r="D39" s="16" t="str">
        <f t="shared" si="8"/>
        <v>Pago 12 de 20</v>
      </c>
      <c r="E39" s="17">
        <f>VLOOKUP(A39,Ventas[],15,FALSE)</f>
        <v>604.5</v>
      </c>
      <c r="F39" s="18">
        <v>46153</v>
      </c>
      <c r="G39" s="17">
        <f t="shared" si="9"/>
        <v>5440.5</v>
      </c>
      <c r="H39" s="17">
        <f t="shared" si="10"/>
        <v>6649.5</v>
      </c>
      <c r="I39" s="17">
        <f t="shared" si="11"/>
        <v>4836</v>
      </c>
      <c r="J39" s="19">
        <f t="shared" si="12"/>
        <v>7254</v>
      </c>
    </row>
    <row r="40" spans="1:10" x14ac:dyDescent="0.2">
      <c r="A40" s="25">
        <v>125</v>
      </c>
      <c r="B40" s="25">
        <v>20</v>
      </c>
      <c r="C40" s="25">
        <v>13</v>
      </c>
      <c r="D40" s="16" t="str">
        <f t="shared" si="8"/>
        <v>Pago 13 de 20</v>
      </c>
      <c r="E40" s="17">
        <f>VLOOKUP(A40,Ventas[],15,FALSE)</f>
        <v>604.5</v>
      </c>
      <c r="F40" s="18">
        <v>46154</v>
      </c>
      <c r="G40" s="17">
        <f t="shared" si="9"/>
        <v>4836</v>
      </c>
      <c r="H40" s="17">
        <f t="shared" si="10"/>
        <v>7254</v>
      </c>
      <c r="I40" s="17">
        <f t="shared" si="11"/>
        <v>4231.5</v>
      </c>
      <c r="J40" s="19">
        <f t="shared" si="12"/>
        <v>7858.5</v>
      </c>
    </row>
    <row r="41" spans="1:10" x14ac:dyDescent="0.2">
      <c r="A41" s="23">
        <v>125</v>
      </c>
      <c r="B41" s="24">
        <v>20</v>
      </c>
      <c r="C41" s="25">
        <v>14</v>
      </c>
      <c r="D41" s="16" t="str">
        <f t="shared" si="8"/>
        <v>Pago 14 de 20</v>
      </c>
      <c r="E41" s="17">
        <f>VLOOKUP(A41,Ventas[],15,FALSE)</f>
        <v>604.5</v>
      </c>
      <c r="F41" s="18">
        <v>46155</v>
      </c>
      <c r="G41" s="17">
        <f t="shared" si="9"/>
        <v>4231.5</v>
      </c>
      <c r="H41" s="17">
        <f t="shared" si="10"/>
        <v>7858.5</v>
      </c>
      <c r="I41" s="17">
        <f t="shared" si="11"/>
        <v>3627</v>
      </c>
      <c r="J41" s="19">
        <f t="shared" si="12"/>
        <v>8463</v>
      </c>
    </row>
    <row r="42" spans="1:10" x14ac:dyDescent="0.2">
      <c r="A42" s="25">
        <v>125</v>
      </c>
      <c r="B42" s="25">
        <v>20</v>
      </c>
      <c r="C42" s="25">
        <v>15</v>
      </c>
      <c r="D42" s="16" t="str">
        <f t="shared" si="8"/>
        <v>Pago 15 de 20</v>
      </c>
      <c r="E42" s="17">
        <f>VLOOKUP(A42,Ventas[],15,FALSE)</f>
        <v>604.5</v>
      </c>
      <c r="F42" s="18">
        <v>46156</v>
      </c>
      <c r="G42" s="17">
        <f t="shared" si="9"/>
        <v>3627</v>
      </c>
      <c r="H42" s="17">
        <f t="shared" si="10"/>
        <v>8463</v>
      </c>
      <c r="I42" s="17">
        <f t="shared" si="11"/>
        <v>3022.5</v>
      </c>
      <c r="J42" s="19">
        <f t="shared" si="12"/>
        <v>9067.5</v>
      </c>
    </row>
    <row r="43" spans="1:10" x14ac:dyDescent="0.2">
      <c r="A43" s="23">
        <v>125</v>
      </c>
      <c r="B43" s="24">
        <v>20</v>
      </c>
      <c r="C43" s="25">
        <v>16</v>
      </c>
      <c r="D43" s="16" t="str">
        <f t="shared" si="8"/>
        <v>Pago 16 de 20</v>
      </c>
      <c r="E43" s="17">
        <f>VLOOKUP(A43,Ventas[],15,FALSE)</f>
        <v>604.5</v>
      </c>
      <c r="F43" s="18">
        <v>46157</v>
      </c>
      <c r="G43" s="17">
        <f t="shared" si="9"/>
        <v>3022.5</v>
      </c>
      <c r="H43" s="17">
        <f t="shared" si="10"/>
        <v>9067.5</v>
      </c>
      <c r="I43" s="17">
        <f t="shared" si="11"/>
        <v>2418</v>
      </c>
      <c r="J43" s="19">
        <f t="shared" si="12"/>
        <v>9672</v>
      </c>
    </row>
    <row r="44" spans="1:10" x14ac:dyDescent="0.2">
      <c r="A44" s="25">
        <v>125</v>
      </c>
      <c r="B44" s="25">
        <v>20</v>
      </c>
      <c r="C44" s="25">
        <v>17</v>
      </c>
      <c r="D44" s="16" t="str">
        <f t="shared" si="8"/>
        <v>Pago 17 de 20</v>
      </c>
      <c r="E44" s="17">
        <f>VLOOKUP(A44,Ventas[],15,FALSE)</f>
        <v>604.5</v>
      </c>
      <c r="F44" s="18">
        <v>46158</v>
      </c>
      <c r="G44" s="17">
        <f t="shared" si="9"/>
        <v>2418</v>
      </c>
      <c r="H44" s="17">
        <f t="shared" si="10"/>
        <v>9672</v>
      </c>
      <c r="I44" s="17">
        <f t="shared" si="11"/>
        <v>1813.5</v>
      </c>
      <c r="J44" s="19">
        <f t="shared" si="12"/>
        <v>10276.5</v>
      </c>
    </row>
    <row r="45" spans="1:10" x14ac:dyDescent="0.2">
      <c r="A45" s="23">
        <v>125</v>
      </c>
      <c r="B45" s="24">
        <v>20</v>
      </c>
      <c r="C45" s="25">
        <v>18</v>
      </c>
      <c r="D45" s="16" t="str">
        <f t="shared" si="8"/>
        <v>Pago 18 de 20</v>
      </c>
      <c r="E45" s="17">
        <f>VLOOKUP(A45,Ventas[],15,FALSE)</f>
        <v>604.5</v>
      </c>
      <c r="F45" s="18">
        <v>46159</v>
      </c>
      <c r="G45" s="17">
        <f t="shared" si="9"/>
        <v>1813.5</v>
      </c>
      <c r="H45" s="17">
        <f t="shared" si="10"/>
        <v>10276.5</v>
      </c>
      <c r="I45" s="17">
        <f t="shared" si="11"/>
        <v>1209</v>
      </c>
      <c r="J45" s="19">
        <f t="shared" si="12"/>
        <v>10881</v>
      </c>
    </row>
    <row r="46" spans="1:10" x14ac:dyDescent="0.2">
      <c r="A46" s="25">
        <v>125</v>
      </c>
      <c r="B46" s="25">
        <v>20</v>
      </c>
      <c r="C46" s="25">
        <v>19</v>
      </c>
      <c r="D46" s="16" t="str">
        <f t="shared" si="8"/>
        <v>Pago 19 de 20</v>
      </c>
      <c r="E46" s="17">
        <f>VLOOKUP(A46,Ventas[],15,FALSE)</f>
        <v>604.5</v>
      </c>
      <c r="F46" s="18">
        <v>46160</v>
      </c>
      <c r="G46" s="17">
        <f t="shared" si="9"/>
        <v>1209</v>
      </c>
      <c r="H46" s="17">
        <f t="shared" si="10"/>
        <v>10881</v>
      </c>
      <c r="I46" s="17">
        <f t="shared" si="11"/>
        <v>604.5</v>
      </c>
      <c r="J46" s="19">
        <f t="shared" si="12"/>
        <v>11485.5</v>
      </c>
    </row>
    <row r="47" spans="1:10" x14ac:dyDescent="0.2">
      <c r="A47" s="23">
        <v>125</v>
      </c>
      <c r="B47" s="24">
        <v>20</v>
      </c>
      <c r="C47" s="25">
        <v>20</v>
      </c>
      <c r="D47" s="16" t="str">
        <f t="shared" si="8"/>
        <v>Pago 20 de 20</v>
      </c>
      <c r="E47" s="17">
        <f>VLOOKUP(A47,Ventas[],15,FALSE)</f>
        <v>604.5</v>
      </c>
      <c r="F47" s="18">
        <v>46161</v>
      </c>
      <c r="G47" s="17">
        <f t="shared" si="9"/>
        <v>604.5</v>
      </c>
      <c r="H47" s="17">
        <f t="shared" si="10"/>
        <v>11485.5</v>
      </c>
      <c r="I47" s="17">
        <f t="shared" si="11"/>
        <v>0</v>
      </c>
      <c r="J47" s="19">
        <f t="shared" si="12"/>
        <v>12090</v>
      </c>
    </row>
    <row r="48" spans="1:10" x14ac:dyDescent="0.2">
      <c r="A48" s="26">
        <v>126</v>
      </c>
      <c r="B48" s="27">
        <v>5</v>
      </c>
      <c r="C48" s="28">
        <v>0</v>
      </c>
      <c r="D48" s="12" t="str">
        <f t="shared" si="8"/>
        <v>Anticipo</v>
      </c>
      <c r="E48" s="13">
        <f>VLOOKUP(A48,Ventas[],10,FALSE)</f>
        <v>100</v>
      </c>
      <c r="F48" s="14">
        <f>VLOOKUP(A48,Ventas[],2,FALSE)</f>
        <v>46137</v>
      </c>
      <c r="G48" s="13">
        <f>VLOOKUP(A48,Ventas[],14,FALSE)</f>
        <v>1750</v>
      </c>
      <c r="H48" s="13">
        <v>0</v>
      </c>
      <c r="I48" s="13">
        <f t="shared" ref="I48:I58" si="13">G48-E48</f>
        <v>1650</v>
      </c>
      <c r="J48" s="15">
        <f t="shared" ref="J48:J58" si="14">H48+E48</f>
        <v>100</v>
      </c>
    </row>
    <row r="49" spans="1:10" x14ac:dyDescent="0.2">
      <c r="A49" s="26">
        <v>126</v>
      </c>
      <c r="B49" s="27">
        <v>5</v>
      </c>
      <c r="C49" s="28">
        <v>1</v>
      </c>
      <c r="D49" s="16" t="str">
        <f t="shared" si="8"/>
        <v>Pago 1 de 5</v>
      </c>
      <c r="E49" s="17">
        <f>VLOOKUP(A49,Ventas[],15,FALSE)</f>
        <v>330</v>
      </c>
      <c r="F49" s="18">
        <v>46142</v>
      </c>
      <c r="G49" s="17">
        <f t="shared" ref="G49:H53" si="15">I48</f>
        <v>1650</v>
      </c>
      <c r="H49" s="17">
        <f t="shared" si="15"/>
        <v>100</v>
      </c>
      <c r="I49" s="17">
        <f t="shared" si="13"/>
        <v>1320</v>
      </c>
      <c r="J49" s="19">
        <f t="shared" si="14"/>
        <v>430</v>
      </c>
    </row>
    <row r="50" spans="1:10" x14ac:dyDescent="0.2">
      <c r="A50" s="26">
        <v>126</v>
      </c>
      <c r="B50" s="27">
        <v>5</v>
      </c>
      <c r="C50" s="28">
        <v>2</v>
      </c>
      <c r="D50" s="16" t="str">
        <f t="shared" ref="D50:D58" si="16">IF(C50=0,"Anticipo", "Pago " &amp; C50 &amp; " de " &amp; B50)</f>
        <v>Pago 2 de 5</v>
      </c>
      <c r="E50" s="17">
        <f>VLOOKUP(A50,Ventas[],15,FALSE)</f>
        <v>330</v>
      </c>
      <c r="F50" s="18">
        <v>46143</v>
      </c>
      <c r="G50" s="17">
        <f t="shared" si="15"/>
        <v>1320</v>
      </c>
      <c r="H50" s="17">
        <f t="shared" si="15"/>
        <v>430</v>
      </c>
      <c r="I50" s="17">
        <f t="shared" si="13"/>
        <v>990</v>
      </c>
      <c r="J50" s="19">
        <f t="shared" si="14"/>
        <v>760</v>
      </c>
    </row>
    <row r="51" spans="1:10" x14ac:dyDescent="0.2">
      <c r="A51" s="26">
        <v>126</v>
      </c>
      <c r="B51" s="27">
        <v>5</v>
      </c>
      <c r="C51" s="28">
        <v>3</v>
      </c>
      <c r="D51" s="16" t="str">
        <f t="shared" si="16"/>
        <v>Pago 3 de 5</v>
      </c>
      <c r="E51" s="17">
        <f>VLOOKUP(A51,Ventas[],15,FALSE)</f>
        <v>330</v>
      </c>
      <c r="F51" s="18">
        <v>46144</v>
      </c>
      <c r="G51" s="17">
        <f t="shared" si="15"/>
        <v>990</v>
      </c>
      <c r="H51" s="17">
        <f t="shared" si="15"/>
        <v>760</v>
      </c>
      <c r="I51" s="17">
        <f t="shared" si="13"/>
        <v>660</v>
      </c>
      <c r="J51" s="19">
        <f t="shared" si="14"/>
        <v>1090</v>
      </c>
    </row>
    <row r="52" spans="1:10" x14ac:dyDescent="0.2">
      <c r="A52" s="26">
        <v>126</v>
      </c>
      <c r="B52" s="27">
        <v>5</v>
      </c>
      <c r="C52" s="28">
        <v>4</v>
      </c>
      <c r="D52" s="16" t="str">
        <f t="shared" si="16"/>
        <v>Pago 4 de 5</v>
      </c>
      <c r="E52" s="17">
        <f>VLOOKUP(A52,Ventas[],15,FALSE)</f>
        <v>330</v>
      </c>
      <c r="F52" s="18">
        <v>46145</v>
      </c>
      <c r="G52" s="17">
        <f t="shared" si="15"/>
        <v>660</v>
      </c>
      <c r="H52" s="17">
        <f t="shared" si="15"/>
        <v>1090</v>
      </c>
      <c r="I52" s="17">
        <f t="shared" si="13"/>
        <v>330</v>
      </c>
      <c r="J52" s="19">
        <f t="shared" si="14"/>
        <v>1420</v>
      </c>
    </row>
    <row r="53" spans="1:10" x14ac:dyDescent="0.2">
      <c r="A53" s="26">
        <v>126</v>
      </c>
      <c r="B53" s="27">
        <v>5</v>
      </c>
      <c r="C53" s="28">
        <v>5</v>
      </c>
      <c r="D53" s="16" t="str">
        <f t="shared" si="16"/>
        <v>Pago 5 de 5</v>
      </c>
      <c r="E53" s="17">
        <f>VLOOKUP(A53,Ventas[],15,FALSE)</f>
        <v>330</v>
      </c>
      <c r="F53" s="18">
        <v>46146</v>
      </c>
      <c r="G53" s="17">
        <f t="shared" si="15"/>
        <v>330</v>
      </c>
      <c r="H53" s="17">
        <f t="shared" si="15"/>
        <v>1420</v>
      </c>
      <c r="I53" s="17">
        <f t="shared" si="13"/>
        <v>0</v>
      </c>
      <c r="J53" s="19">
        <f t="shared" si="14"/>
        <v>1750</v>
      </c>
    </row>
    <row r="54" spans="1:10" x14ac:dyDescent="0.2">
      <c r="A54" s="29">
        <v>127</v>
      </c>
      <c r="B54" s="30">
        <v>2</v>
      </c>
      <c r="C54" s="31">
        <v>0</v>
      </c>
      <c r="D54" s="12" t="str">
        <f t="shared" si="16"/>
        <v>Anticipo</v>
      </c>
      <c r="E54" s="13">
        <f>VLOOKUP(A54,Ventas[],10,FALSE)</f>
        <v>200</v>
      </c>
      <c r="F54" s="14">
        <f>VLOOKUP(A54,Ventas[],2,FALSE)</f>
        <v>46137</v>
      </c>
      <c r="G54" s="13">
        <f>VLOOKUP(A54,Ventas[],14,FALSE)</f>
        <v>500</v>
      </c>
      <c r="H54" s="13">
        <v>0</v>
      </c>
      <c r="I54" s="13">
        <f t="shared" si="13"/>
        <v>300</v>
      </c>
      <c r="J54" s="15">
        <f t="shared" si="14"/>
        <v>200</v>
      </c>
    </row>
    <row r="55" spans="1:10" x14ac:dyDescent="0.2">
      <c r="A55" s="29">
        <v>127</v>
      </c>
      <c r="B55" s="30">
        <v>2</v>
      </c>
      <c r="C55" s="31">
        <v>1</v>
      </c>
      <c r="D55" s="16" t="str">
        <f t="shared" si="16"/>
        <v>Pago 1 de 2</v>
      </c>
      <c r="E55" s="17">
        <f>VLOOKUP(A55,Ventas[],15,FALSE)</f>
        <v>150</v>
      </c>
      <c r="F55" s="18">
        <v>46142</v>
      </c>
      <c r="G55" s="17">
        <f>I54</f>
        <v>300</v>
      </c>
      <c r="H55" s="17">
        <f>J54</f>
        <v>200</v>
      </c>
      <c r="I55" s="17">
        <f t="shared" si="13"/>
        <v>150</v>
      </c>
      <c r="J55" s="19">
        <f t="shared" si="14"/>
        <v>350</v>
      </c>
    </row>
    <row r="56" spans="1:10" x14ac:dyDescent="0.2">
      <c r="A56" s="29">
        <v>127</v>
      </c>
      <c r="B56" s="30">
        <v>2</v>
      </c>
      <c r="C56" s="31">
        <v>2</v>
      </c>
      <c r="D56" s="16" t="str">
        <f t="shared" si="16"/>
        <v>Pago 2 de 2</v>
      </c>
      <c r="E56" s="17">
        <f>VLOOKUP(A56,Ventas[],15,FALSE)</f>
        <v>150</v>
      </c>
      <c r="F56" s="18">
        <v>46143</v>
      </c>
      <c r="G56" s="17">
        <f>I55</f>
        <v>150</v>
      </c>
      <c r="H56" s="17">
        <f>J55</f>
        <v>350</v>
      </c>
      <c r="I56" s="17">
        <f t="shared" si="13"/>
        <v>0</v>
      </c>
      <c r="J56" s="19">
        <f t="shared" si="14"/>
        <v>500</v>
      </c>
    </row>
    <row r="57" spans="1:10" x14ac:dyDescent="0.2">
      <c r="A57" s="32">
        <v>128</v>
      </c>
      <c r="B57" s="33">
        <v>43</v>
      </c>
      <c r="C57" s="34">
        <v>0</v>
      </c>
      <c r="D57" s="12" t="str">
        <f t="shared" si="16"/>
        <v>Anticipo</v>
      </c>
      <c r="E57" s="13">
        <f>VLOOKUP(A57,Ventas[],10,FALSE)</f>
        <v>5000</v>
      </c>
      <c r="F57" s="14">
        <f>VLOOKUP(A57,Ventas[],2,FALSE)</f>
        <v>46140</v>
      </c>
      <c r="G57" s="13">
        <f>VLOOKUP(A57,Ventas[],14,FALSE)</f>
        <v>37000</v>
      </c>
      <c r="H57" s="13">
        <v>0</v>
      </c>
      <c r="I57" s="13">
        <f t="shared" si="13"/>
        <v>32000</v>
      </c>
      <c r="J57" s="15">
        <f t="shared" si="14"/>
        <v>5000</v>
      </c>
    </row>
    <row r="58" spans="1:10" x14ac:dyDescent="0.2">
      <c r="A58" s="32">
        <v>128</v>
      </c>
      <c r="B58" s="33">
        <v>43</v>
      </c>
      <c r="C58" s="34">
        <v>1</v>
      </c>
      <c r="D58" s="16" t="str">
        <f t="shared" si="16"/>
        <v>Pago 1 de 43</v>
      </c>
      <c r="E58" s="17">
        <f>VLOOKUP(A58,Ventas[],15,FALSE)</f>
        <v>744.19</v>
      </c>
      <c r="F58" s="18">
        <v>46142</v>
      </c>
      <c r="G58" s="17">
        <f>I57</f>
        <v>32000</v>
      </c>
      <c r="H58" s="17">
        <f>J57</f>
        <v>5000</v>
      </c>
      <c r="I58" s="17">
        <f t="shared" si="13"/>
        <v>31255.81</v>
      </c>
      <c r="J58" s="19">
        <f t="shared" si="14"/>
        <v>5744.1900000000005</v>
      </c>
    </row>
    <row r="59" spans="1:10" x14ac:dyDescent="0.2">
      <c r="A59" s="32">
        <v>128</v>
      </c>
      <c r="B59" s="33">
        <v>43</v>
      </c>
      <c r="C59" s="34">
        <v>2</v>
      </c>
      <c r="D59" s="16" t="str">
        <f t="shared" ref="D59:D100" si="17">IF(C59=0,"Anticipo", "Pago " &amp; C59 &amp; " de " &amp; B59)</f>
        <v>Pago 2 de 43</v>
      </c>
      <c r="E59" s="17">
        <f>VLOOKUP(A59,Ventas[],15,FALSE)</f>
        <v>744.19</v>
      </c>
      <c r="F59" s="18">
        <v>46143</v>
      </c>
      <c r="G59" s="17">
        <f t="shared" ref="G59:G100" si="18">I58</f>
        <v>31255.81</v>
      </c>
      <c r="H59" s="17">
        <f t="shared" ref="H59:H100" si="19">J58</f>
        <v>5744.1900000000005</v>
      </c>
      <c r="I59" s="17">
        <f t="shared" ref="I59:I100" si="20">G59-E59</f>
        <v>30511.620000000003</v>
      </c>
      <c r="J59" s="19">
        <f t="shared" ref="J59:J100" si="21">H59+E59</f>
        <v>6488.380000000001</v>
      </c>
    </row>
    <row r="60" spans="1:10" x14ac:dyDescent="0.2">
      <c r="A60" s="32">
        <v>128</v>
      </c>
      <c r="B60" s="33">
        <v>43</v>
      </c>
      <c r="C60" s="34">
        <v>3</v>
      </c>
      <c r="D60" s="16" t="str">
        <f t="shared" si="17"/>
        <v>Pago 3 de 43</v>
      </c>
      <c r="E60" s="17">
        <f>VLOOKUP(A60,Ventas[],15,FALSE)</f>
        <v>744.19</v>
      </c>
      <c r="F60" s="18">
        <v>46144</v>
      </c>
      <c r="G60" s="17">
        <f t="shared" si="18"/>
        <v>30511.620000000003</v>
      </c>
      <c r="H60" s="17">
        <f t="shared" si="19"/>
        <v>6488.380000000001</v>
      </c>
      <c r="I60" s="17">
        <f t="shared" si="20"/>
        <v>29767.430000000004</v>
      </c>
      <c r="J60" s="19">
        <f t="shared" si="21"/>
        <v>7232.5700000000015</v>
      </c>
    </row>
    <row r="61" spans="1:10" x14ac:dyDescent="0.2">
      <c r="A61" s="32">
        <v>128</v>
      </c>
      <c r="B61" s="33">
        <v>43</v>
      </c>
      <c r="C61" s="34">
        <v>4</v>
      </c>
      <c r="D61" s="16" t="str">
        <f t="shared" si="17"/>
        <v>Pago 4 de 43</v>
      </c>
      <c r="E61" s="17">
        <f>VLOOKUP(A61,Ventas[],15,FALSE)</f>
        <v>744.19</v>
      </c>
      <c r="F61" s="18">
        <v>46145</v>
      </c>
      <c r="G61" s="17">
        <f t="shared" si="18"/>
        <v>29767.430000000004</v>
      </c>
      <c r="H61" s="17">
        <f t="shared" si="19"/>
        <v>7232.5700000000015</v>
      </c>
      <c r="I61" s="17">
        <f t="shared" si="20"/>
        <v>29023.240000000005</v>
      </c>
      <c r="J61" s="19">
        <f t="shared" si="21"/>
        <v>7976.760000000002</v>
      </c>
    </row>
    <row r="62" spans="1:10" x14ac:dyDescent="0.2">
      <c r="A62" s="32">
        <v>128</v>
      </c>
      <c r="B62" s="33">
        <v>43</v>
      </c>
      <c r="C62" s="34">
        <v>5</v>
      </c>
      <c r="D62" s="16" t="str">
        <f t="shared" si="17"/>
        <v>Pago 5 de 43</v>
      </c>
      <c r="E62" s="17">
        <f>VLOOKUP(A62,Ventas[],15,FALSE)</f>
        <v>744.19</v>
      </c>
      <c r="F62" s="18">
        <v>46146</v>
      </c>
      <c r="G62" s="17">
        <f t="shared" si="18"/>
        <v>29023.240000000005</v>
      </c>
      <c r="H62" s="17">
        <f t="shared" si="19"/>
        <v>7976.760000000002</v>
      </c>
      <c r="I62" s="17">
        <f t="shared" si="20"/>
        <v>28279.050000000007</v>
      </c>
      <c r="J62" s="19">
        <f t="shared" si="21"/>
        <v>8720.9500000000025</v>
      </c>
    </row>
    <row r="63" spans="1:10" x14ac:dyDescent="0.2">
      <c r="A63" s="32">
        <v>128</v>
      </c>
      <c r="B63" s="33">
        <v>43</v>
      </c>
      <c r="C63" s="34">
        <v>6</v>
      </c>
      <c r="D63" s="16" t="str">
        <f t="shared" si="17"/>
        <v>Pago 6 de 43</v>
      </c>
      <c r="E63" s="17">
        <f>VLOOKUP(A63,Ventas[],15,FALSE)</f>
        <v>744.19</v>
      </c>
      <c r="F63" s="18">
        <v>46147</v>
      </c>
      <c r="G63" s="17">
        <f t="shared" si="18"/>
        <v>28279.050000000007</v>
      </c>
      <c r="H63" s="17">
        <f t="shared" si="19"/>
        <v>8720.9500000000025</v>
      </c>
      <c r="I63" s="17">
        <f t="shared" si="20"/>
        <v>27534.860000000008</v>
      </c>
      <c r="J63" s="19">
        <f t="shared" si="21"/>
        <v>9465.1400000000031</v>
      </c>
    </row>
    <row r="64" spans="1:10" x14ac:dyDescent="0.2">
      <c r="A64" s="32">
        <v>128</v>
      </c>
      <c r="B64" s="33">
        <v>43</v>
      </c>
      <c r="C64" s="34">
        <v>7</v>
      </c>
      <c r="D64" s="16" t="str">
        <f t="shared" si="17"/>
        <v>Pago 7 de 43</v>
      </c>
      <c r="E64" s="17">
        <f>VLOOKUP(A64,Ventas[],15,FALSE)</f>
        <v>744.19</v>
      </c>
      <c r="F64" s="18">
        <v>46148</v>
      </c>
      <c r="G64" s="17">
        <f t="shared" si="18"/>
        <v>27534.860000000008</v>
      </c>
      <c r="H64" s="17">
        <f t="shared" si="19"/>
        <v>9465.1400000000031</v>
      </c>
      <c r="I64" s="17">
        <f t="shared" si="20"/>
        <v>26790.670000000009</v>
      </c>
      <c r="J64" s="19">
        <f t="shared" si="21"/>
        <v>10209.330000000004</v>
      </c>
    </row>
    <row r="65" spans="1:10" x14ac:dyDescent="0.2">
      <c r="A65" s="32">
        <v>128</v>
      </c>
      <c r="B65" s="33">
        <v>43</v>
      </c>
      <c r="C65" s="34">
        <v>8</v>
      </c>
      <c r="D65" s="16" t="str">
        <f t="shared" si="17"/>
        <v>Pago 8 de 43</v>
      </c>
      <c r="E65" s="17">
        <f>VLOOKUP(A65,Ventas[],15,FALSE)</f>
        <v>744.19</v>
      </c>
      <c r="F65" s="18">
        <v>46149</v>
      </c>
      <c r="G65" s="17">
        <f t="shared" si="18"/>
        <v>26790.670000000009</v>
      </c>
      <c r="H65" s="17">
        <f t="shared" si="19"/>
        <v>10209.330000000004</v>
      </c>
      <c r="I65" s="17">
        <f t="shared" si="20"/>
        <v>26046.48000000001</v>
      </c>
      <c r="J65" s="19">
        <f t="shared" si="21"/>
        <v>10953.520000000004</v>
      </c>
    </row>
    <row r="66" spans="1:10" x14ac:dyDescent="0.2">
      <c r="A66" s="32">
        <v>128</v>
      </c>
      <c r="B66" s="33">
        <v>43</v>
      </c>
      <c r="C66" s="34">
        <v>9</v>
      </c>
      <c r="D66" s="16" t="str">
        <f t="shared" si="17"/>
        <v>Pago 9 de 43</v>
      </c>
      <c r="E66" s="17">
        <f>VLOOKUP(A66,Ventas[],15,FALSE)</f>
        <v>744.19</v>
      </c>
      <c r="F66" s="18">
        <v>46150</v>
      </c>
      <c r="G66" s="17">
        <f t="shared" si="18"/>
        <v>26046.48000000001</v>
      </c>
      <c r="H66" s="17">
        <f t="shared" si="19"/>
        <v>10953.520000000004</v>
      </c>
      <c r="I66" s="17">
        <f t="shared" si="20"/>
        <v>25302.290000000012</v>
      </c>
      <c r="J66" s="19">
        <f t="shared" si="21"/>
        <v>11697.710000000005</v>
      </c>
    </row>
    <row r="67" spans="1:10" x14ac:dyDescent="0.2">
      <c r="A67" s="32">
        <v>128</v>
      </c>
      <c r="B67" s="33">
        <v>43</v>
      </c>
      <c r="C67" s="34">
        <v>10</v>
      </c>
      <c r="D67" s="16" t="str">
        <f t="shared" si="17"/>
        <v>Pago 10 de 43</v>
      </c>
      <c r="E67" s="17">
        <f>VLOOKUP(A67,Ventas[],15,FALSE)</f>
        <v>744.19</v>
      </c>
      <c r="F67" s="18">
        <v>46151</v>
      </c>
      <c r="G67" s="17">
        <f t="shared" si="18"/>
        <v>25302.290000000012</v>
      </c>
      <c r="H67" s="17">
        <f t="shared" si="19"/>
        <v>11697.710000000005</v>
      </c>
      <c r="I67" s="17">
        <f t="shared" si="20"/>
        <v>24558.100000000013</v>
      </c>
      <c r="J67" s="19">
        <f t="shared" si="21"/>
        <v>12441.900000000005</v>
      </c>
    </row>
    <row r="68" spans="1:10" x14ac:dyDescent="0.2">
      <c r="A68" s="32">
        <v>128</v>
      </c>
      <c r="B68" s="33">
        <v>43</v>
      </c>
      <c r="C68" s="34">
        <v>11</v>
      </c>
      <c r="D68" s="16" t="str">
        <f t="shared" si="17"/>
        <v>Pago 11 de 43</v>
      </c>
      <c r="E68" s="17">
        <f>VLOOKUP(A68,Ventas[],15,FALSE)</f>
        <v>744.19</v>
      </c>
      <c r="F68" s="18">
        <v>46152</v>
      </c>
      <c r="G68" s="17">
        <f t="shared" si="18"/>
        <v>24558.100000000013</v>
      </c>
      <c r="H68" s="17">
        <f t="shared" si="19"/>
        <v>12441.900000000005</v>
      </c>
      <c r="I68" s="17">
        <f t="shared" si="20"/>
        <v>23813.910000000014</v>
      </c>
      <c r="J68" s="19">
        <f t="shared" si="21"/>
        <v>13186.090000000006</v>
      </c>
    </row>
    <row r="69" spans="1:10" x14ac:dyDescent="0.2">
      <c r="A69" s="32">
        <v>128</v>
      </c>
      <c r="B69" s="33">
        <v>43</v>
      </c>
      <c r="C69" s="34">
        <v>12</v>
      </c>
      <c r="D69" s="16" t="str">
        <f t="shared" si="17"/>
        <v>Pago 12 de 43</v>
      </c>
      <c r="E69" s="17">
        <f>VLOOKUP(A69,Ventas[],15,FALSE)</f>
        <v>744.19</v>
      </c>
      <c r="F69" s="18">
        <v>46153</v>
      </c>
      <c r="G69" s="17">
        <f t="shared" si="18"/>
        <v>23813.910000000014</v>
      </c>
      <c r="H69" s="17">
        <f t="shared" si="19"/>
        <v>13186.090000000006</v>
      </c>
      <c r="I69" s="17">
        <f t="shared" si="20"/>
        <v>23069.720000000016</v>
      </c>
      <c r="J69" s="19">
        <f t="shared" si="21"/>
        <v>13930.280000000006</v>
      </c>
    </row>
    <row r="70" spans="1:10" x14ac:dyDescent="0.2">
      <c r="A70" s="32">
        <v>128</v>
      </c>
      <c r="B70" s="33">
        <v>43</v>
      </c>
      <c r="C70" s="34">
        <v>13</v>
      </c>
      <c r="D70" s="16" t="str">
        <f t="shared" si="17"/>
        <v>Pago 13 de 43</v>
      </c>
      <c r="E70" s="17">
        <f>VLOOKUP(A70,Ventas[],15,FALSE)</f>
        <v>744.19</v>
      </c>
      <c r="F70" s="18">
        <v>46154</v>
      </c>
      <c r="G70" s="17">
        <f t="shared" si="18"/>
        <v>23069.720000000016</v>
      </c>
      <c r="H70" s="17">
        <f t="shared" si="19"/>
        <v>13930.280000000006</v>
      </c>
      <c r="I70" s="17">
        <f t="shared" si="20"/>
        <v>22325.530000000017</v>
      </c>
      <c r="J70" s="19">
        <f t="shared" si="21"/>
        <v>14674.470000000007</v>
      </c>
    </row>
    <row r="71" spans="1:10" x14ac:dyDescent="0.2">
      <c r="A71" s="32">
        <v>128</v>
      </c>
      <c r="B71" s="33">
        <v>43</v>
      </c>
      <c r="C71" s="34">
        <v>14</v>
      </c>
      <c r="D71" s="16" t="str">
        <f t="shared" si="17"/>
        <v>Pago 14 de 43</v>
      </c>
      <c r="E71" s="17">
        <f>VLOOKUP(A71,Ventas[],15,FALSE)</f>
        <v>744.19</v>
      </c>
      <c r="F71" s="18">
        <v>46155</v>
      </c>
      <c r="G71" s="17">
        <f t="shared" si="18"/>
        <v>22325.530000000017</v>
      </c>
      <c r="H71" s="17">
        <f t="shared" si="19"/>
        <v>14674.470000000007</v>
      </c>
      <c r="I71" s="17">
        <f t="shared" si="20"/>
        <v>21581.340000000018</v>
      </c>
      <c r="J71" s="19">
        <f t="shared" si="21"/>
        <v>15418.660000000007</v>
      </c>
    </row>
    <row r="72" spans="1:10" x14ac:dyDescent="0.2">
      <c r="A72" s="32">
        <v>128</v>
      </c>
      <c r="B72" s="33">
        <v>43</v>
      </c>
      <c r="C72" s="34">
        <v>15</v>
      </c>
      <c r="D72" s="16" t="str">
        <f t="shared" si="17"/>
        <v>Pago 15 de 43</v>
      </c>
      <c r="E72" s="17">
        <f>VLOOKUP(A72,Ventas[],15,FALSE)</f>
        <v>744.19</v>
      </c>
      <c r="F72" s="18">
        <v>46156</v>
      </c>
      <c r="G72" s="17">
        <f t="shared" si="18"/>
        <v>21581.340000000018</v>
      </c>
      <c r="H72" s="17">
        <f t="shared" si="19"/>
        <v>15418.660000000007</v>
      </c>
      <c r="I72" s="17">
        <f t="shared" si="20"/>
        <v>20837.15000000002</v>
      </c>
      <c r="J72" s="19">
        <f t="shared" si="21"/>
        <v>16162.850000000008</v>
      </c>
    </row>
    <row r="73" spans="1:10" x14ac:dyDescent="0.2">
      <c r="A73" s="32">
        <v>128</v>
      </c>
      <c r="B73" s="33">
        <v>43</v>
      </c>
      <c r="C73" s="34">
        <v>16</v>
      </c>
      <c r="D73" s="16" t="str">
        <f t="shared" si="17"/>
        <v>Pago 16 de 43</v>
      </c>
      <c r="E73" s="17">
        <f>VLOOKUP(A73,Ventas[],15,FALSE)</f>
        <v>744.19</v>
      </c>
      <c r="F73" s="18">
        <v>46157</v>
      </c>
      <c r="G73" s="17">
        <f t="shared" si="18"/>
        <v>20837.15000000002</v>
      </c>
      <c r="H73" s="17">
        <f t="shared" si="19"/>
        <v>16162.850000000008</v>
      </c>
      <c r="I73" s="17">
        <f t="shared" si="20"/>
        <v>20092.960000000021</v>
      </c>
      <c r="J73" s="19">
        <f t="shared" si="21"/>
        <v>16907.040000000008</v>
      </c>
    </row>
    <row r="74" spans="1:10" x14ac:dyDescent="0.2">
      <c r="A74" s="32">
        <v>128</v>
      </c>
      <c r="B74" s="33">
        <v>43</v>
      </c>
      <c r="C74" s="34">
        <v>17</v>
      </c>
      <c r="D74" s="16" t="str">
        <f t="shared" si="17"/>
        <v>Pago 17 de 43</v>
      </c>
      <c r="E74" s="17">
        <f>VLOOKUP(A74,Ventas[],15,FALSE)</f>
        <v>744.19</v>
      </c>
      <c r="F74" s="18">
        <v>46158</v>
      </c>
      <c r="G74" s="17">
        <f t="shared" si="18"/>
        <v>20092.960000000021</v>
      </c>
      <c r="H74" s="17">
        <f t="shared" si="19"/>
        <v>16907.040000000008</v>
      </c>
      <c r="I74" s="17">
        <f t="shared" si="20"/>
        <v>19348.770000000022</v>
      </c>
      <c r="J74" s="19">
        <f t="shared" si="21"/>
        <v>17651.230000000007</v>
      </c>
    </row>
    <row r="75" spans="1:10" x14ac:dyDescent="0.2">
      <c r="A75" s="32">
        <v>128</v>
      </c>
      <c r="B75" s="33">
        <v>43</v>
      </c>
      <c r="C75" s="34">
        <v>18</v>
      </c>
      <c r="D75" s="16" t="str">
        <f t="shared" si="17"/>
        <v>Pago 18 de 43</v>
      </c>
      <c r="E75" s="17">
        <f>VLOOKUP(A75,Ventas[],15,FALSE)</f>
        <v>744.19</v>
      </c>
      <c r="F75" s="18">
        <v>46159</v>
      </c>
      <c r="G75" s="17">
        <f t="shared" si="18"/>
        <v>19348.770000000022</v>
      </c>
      <c r="H75" s="17">
        <f t="shared" si="19"/>
        <v>17651.230000000007</v>
      </c>
      <c r="I75" s="17">
        <f t="shared" si="20"/>
        <v>18604.580000000024</v>
      </c>
      <c r="J75" s="19">
        <f t="shared" si="21"/>
        <v>18395.420000000006</v>
      </c>
    </row>
    <row r="76" spans="1:10" x14ac:dyDescent="0.2">
      <c r="A76" s="32">
        <v>128</v>
      </c>
      <c r="B76" s="33">
        <v>43</v>
      </c>
      <c r="C76" s="34">
        <v>19</v>
      </c>
      <c r="D76" s="16" t="str">
        <f t="shared" si="17"/>
        <v>Pago 19 de 43</v>
      </c>
      <c r="E76" s="17">
        <f>VLOOKUP(A76,Ventas[],15,FALSE)</f>
        <v>744.19</v>
      </c>
      <c r="F76" s="18">
        <v>46160</v>
      </c>
      <c r="G76" s="17">
        <f t="shared" si="18"/>
        <v>18604.580000000024</v>
      </c>
      <c r="H76" s="17">
        <f t="shared" si="19"/>
        <v>18395.420000000006</v>
      </c>
      <c r="I76" s="17">
        <f t="shared" si="20"/>
        <v>17860.390000000025</v>
      </c>
      <c r="J76" s="19">
        <f t="shared" si="21"/>
        <v>19139.610000000004</v>
      </c>
    </row>
    <row r="77" spans="1:10" x14ac:dyDescent="0.2">
      <c r="A77" s="32">
        <v>128</v>
      </c>
      <c r="B77" s="33">
        <v>43</v>
      </c>
      <c r="C77" s="34">
        <v>20</v>
      </c>
      <c r="D77" s="16" t="str">
        <f t="shared" si="17"/>
        <v>Pago 20 de 43</v>
      </c>
      <c r="E77" s="17">
        <f>VLOOKUP(A77,Ventas[],15,FALSE)</f>
        <v>744.19</v>
      </c>
      <c r="F77" s="18">
        <v>46161</v>
      </c>
      <c r="G77" s="17">
        <f t="shared" si="18"/>
        <v>17860.390000000025</v>
      </c>
      <c r="H77" s="17">
        <f t="shared" si="19"/>
        <v>19139.610000000004</v>
      </c>
      <c r="I77" s="17">
        <f t="shared" si="20"/>
        <v>17116.200000000026</v>
      </c>
      <c r="J77" s="19">
        <f t="shared" si="21"/>
        <v>19883.800000000003</v>
      </c>
    </row>
    <row r="78" spans="1:10" x14ac:dyDescent="0.2">
      <c r="A78" s="32">
        <v>128</v>
      </c>
      <c r="B78" s="33">
        <v>43</v>
      </c>
      <c r="C78" s="34">
        <v>21</v>
      </c>
      <c r="D78" s="16" t="str">
        <f t="shared" si="17"/>
        <v>Pago 21 de 43</v>
      </c>
      <c r="E78" s="17">
        <f>VLOOKUP(A78,Ventas[],15,FALSE)</f>
        <v>744.19</v>
      </c>
      <c r="F78" s="18">
        <v>46162</v>
      </c>
      <c r="G78" s="17">
        <f t="shared" si="18"/>
        <v>17116.200000000026</v>
      </c>
      <c r="H78" s="17">
        <f t="shared" si="19"/>
        <v>19883.800000000003</v>
      </c>
      <c r="I78" s="17">
        <f t="shared" si="20"/>
        <v>16372.010000000026</v>
      </c>
      <c r="J78" s="19">
        <f t="shared" si="21"/>
        <v>20627.990000000002</v>
      </c>
    </row>
    <row r="79" spans="1:10" x14ac:dyDescent="0.2">
      <c r="A79" s="32">
        <v>128</v>
      </c>
      <c r="B79" s="33">
        <v>43</v>
      </c>
      <c r="C79" s="34">
        <v>22</v>
      </c>
      <c r="D79" s="16" t="str">
        <f t="shared" si="17"/>
        <v>Pago 22 de 43</v>
      </c>
      <c r="E79" s="17">
        <f>VLOOKUP(A79,Ventas[],15,FALSE)</f>
        <v>744.19</v>
      </c>
      <c r="F79" s="18">
        <v>46163</v>
      </c>
      <c r="G79" s="17">
        <f t="shared" si="18"/>
        <v>16372.010000000026</v>
      </c>
      <c r="H79" s="17">
        <f t="shared" si="19"/>
        <v>20627.990000000002</v>
      </c>
      <c r="I79" s="17">
        <f t="shared" si="20"/>
        <v>15627.820000000025</v>
      </c>
      <c r="J79" s="19">
        <f t="shared" si="21"/>
        <v>21372.18</v>
      </c>
    </row>
    <row r="80" spans="1:10" x14ac:dyDescent="0.2">
      <c r="A80" s="32">
        <v>128</v>
      </c>
      <c r="B80" s="33">
        <v>43</v>
      </c>
      <c r="C80" s="34">
        <v>23</v>
      </c>
      <c r="D80" s="16" t="str">
        <f t="shared" si="17"/>
        <v>Pago 23 de 43</v>
      </c>
      <c r="E80" s="17">
        <f>VLOOKUP(A80,Ventas[],15,FALSE)</f>
        <v>744.19</v>
      </c>
      <c r="F80" s="18">
        <v>46164</v>
      </c>
      <c r="G80" s="17">
        <f t="shared" si="18"/>
        <v>15627.820000000025</v>
      </c>
      <c r="H80" s="17">
        <f t="shared" si="19"/>
        <v>21372.18</v>
      </c>
      <c r="I80" s="17">
        <f t="shared" si="20"/>
        <v>14883.630000000025</v>
      </c>
      <c r="J80" s="19">
        <f t="shared" si="21"/>
        <v>22116.37</v>
      </c>
    </row>
    <row r="81" spans="1:10" x14ac:dyDescent="0.2">
      <c r="A81" s="32">
        <v>128</v>
      </c>
      <c r="B81" s="33">
        <v>43</v>
      </c>
      <c r="C81" s="34">
        <v>24</v>
      </c>
      <c r="D81" s="16" t="str">
        <f t="shared" si="17"/>
        <v>Pago 24 de 43</v>
      </c>
      <c r="E81" s="17">
        <f>VLOOKUP(A81,Ventas[],15,FALSE)</f>
        <v>744.19</v>
      </c>
      <c r="F81" s="18">
        <v>46165</v>
      </c>
      <c r="G81" s="17">
        <f t="shared" si="18"/>
        <v>14883.630000000025</v>
      </c>
      <c r="H81" s="17">
        <f t="shared" si="19"/>
        <v>22116.37</v>
      </c>
      <c r="I81" s="17">
        <f t="shared" si="20"/>
        <v>14139.440000000024</v>
      </c>
      <c r="J81" s="19">
        <f t="shared" si="21"/>
        <v>22860.559999999998</v>
      </c>
    </row>
    <row r="82" spans="1:10" x14ac:dyDescent="0.2">
      <c r="A82" s="32">
        <v>128</v>
      </c>
      <c r="B82" s="33">
        <v>43</v>
      </c>
      <c r="C82" s="34">
        <v>25</v>
      </c>
      <c r="D82" s="16" t="str">
        <f t="shared" si="17"/>
        <v>Pago 25 de 43</v>
      </c>
      <c r="E82" s="17">
        <f>VLOOKUP(A82,Ventas[],15,FALSE)</f>
        <v>744.19</v>
      </c>
      <c r="F82" s="18">
        <v>46166</v>
      </c>
      <c r="G82" s="17">
        <f t="shared" si="18"/>
        <v>14139.440000000024</v>
      </c>
      <c r="H82" s="17">
        <f t="shared" si="19"/>
        <v>22860.559999999998</v>
      </c>
      <c r="I82" s="17">
        <f t="shared" si="20"/>
        <v>13395.250000000024</v>
      </c>
      <c r="J82" s="19">
        <f t="shared" si="21"/>
        <v>23604.749999999996</v>
      </c>
    </row>
    <row r="83" spans="1:10" x14ac:dyDescent="0.2">
      <c r="A83" s="32">
        <v>128</v>
      </c>
      <c r="B83" s="33">
        <v>43</v>
      </c>
      <c r="C83" s="34">
        <v>26</v>
      </c>
      <c r="D83" s="16" t="str">
        <f t="shared" si="17"/>
        <v>Pago 26 de 43</v>
      </c>
      <c r="E83" s="17">
        <f>VLOOKUP(A83,Ventas[],15,FALSE)</f>
        <v>744.19</v>
      </c>
      <c r="F83" s="18">
        <v>46167</v>
      </c>
      <c r="G83" s="17">
        <f t="shared" si="18"/>
        <v>13395.250000000024</v>
      </c>
      <c r="H83" s="17">
        <f t="shared" si="19"/>
        <v>23604.749999999996</v>
      </c>
      <c r="I83" s="17">
        <f t="shared" si="20"/>
        <v>12651.060000000023</v>
      </c>
      <c r="J83" s="19">
        <f t="shared" si="21"/>
        <v>24348.939999999995</v>
      </c>
    </row>
    <row r="84" spans="1:10" x14ac:dyDescent="0.2">
      <c r="A84" s="32">
        <v>128</v>
      </c>
      <c r="B84" s="33">
        <v>43</v>
      </c>
      <c r="C84" s="34">
        <v>27</v>
      </c>
      <c r="D84" s="16" t="str">
        <f t="shared" si="17"/>
        <v>Pago 27 de 43</v>
      </c>
      <c r="E84" s="17">
        <f>VLOOKUP(A84,Ventas[],15,FALSE)</f>
        <v>744.19</v>
      </c>
      <c r="F84" s="18">
        <v>46168</v>
      </c>
      <c r="G84" s="17">
        <f t="shared" si="18"/>
        <v>12651.060000000023</v>
      </c>
      <c r="H84" s="17">
        <f t="shared" si="19"/>
        <v>24348.939999999995</v>
      </c>
      <c r="I84" s="17">
        <f t="shared" si="20"/>
        <v>11906.870000000023</v>
      </c>
      <c r="J84" s="19">
        <f t="shared" si="21"/>
        <v>25093.129999999994</v>
      </c>
    </row>
    <row r="85" spans="1:10" x14ac:dyDescent="0.2">
      <c r="A85" s="32">
        <v>128</v>
      </c>
      <c r="B85" s="33">
        <v>43</v>
      </c>
      <c r="C85" s="34">
        <v>28</v>
      </c>
      <c r="D85" s="16" t="str">
        <f t="shared" si="17"/>
        <v>Pago 28 de 43</v>
      </c>
      <c r="E85" s="17">
        <f>VLOOKUP(A85,Ventas[],15,FALSE)</f>
        <v>744.19</v>
      </c>
      <c r="F85" s="18">
        <v>46169</v>
      </c>
      <c r="G85" s="17">
        <f t="shared" si="18"/>
        <v>11906.870000000023</v>
      </c>
      <c r="H85" s="17">
        <f t="shared" si="19"/>
        <v>25093.129999999994</v>
      </c>
      <c r="I85" s="17">
        <f t="shared" si="20"/>
        <v>11162.680000000022</v>
      </c>
      <c r="J85" s="19">
        <f t="shared" si="21"/>
        <v>25837.319999999992</v>
      </c>
    </row>
    <row r="86" spans="1:10" x14ac:dyDescent="0.2">
      <c r="A86" s="32">
        <v>128</v>
      </c>
      <c r="B86" s="33">
        <v>43</v>
      </c>
      <c r="C86" s="34">
        <v>29</v>
      </c>
      <c r="D86" s="16" t="str">
        <f t="shared" si="17"/>
        <v>Pago 29 de 43</v>
      </c>
      <c r="E86" s="17">
        <f>VLOOKUP(A86,Ventas[],15,FALSE)</f>
        <v>744.19</v>
      </c>
      <c r="F86" s="18">
        <v>46170</v>
      </c>
      <c r="G86" s="17">
        <f t="shared" si="18"/>
        <v>11162.680000000022</v>
      </c>
      <c r="H86" s="17">
        <f t="shared" si="19"/>
        <v>25837.319999999992</v>
      </c>
      <c r="I86" s="17">
        <f t="shared" si="20"/>
        <v>10418.490000000022</v>
      </c>
      <c r="J86" s="19">
        <f t="shared" si="21"/>
        <v>26581.509999999991</v>
      </c>
    </row>
    <row r="87" spans="1:10" x14ac:dyDescent="0.2">
      <c r="A87" s="32">
        <v>128</v>
      </c>
      <c r="B87" s="33">
        <v>43</v>
      </c>
      <c r="C87" s="34">
        <v>30</v>
      </c>
      <c r="D87" s="16" t="str">
        <f t="shared" si="17"/>
        <v>Pago 30 de 43</v>
      </c>
      <c r="E87" s="17">
        <f>VLOOKUP(A87,Ventas[],15,FALSE)</f>
        <v>744.19</v>
      </c>
      <c r="F87" s="18">
        <v>46171</v>
      </c>
      <c r="G87" s="17">
        <f t="shared" si="18"/>
        <v>10418.490000000022</v>
      </c>
      <c r="H87" s="17">
        <f t="shared" si="19"/>
        <v>26581.509999999991</v>
      </c>
      <c r="I87" s="17">
        <f t="shared" si="20"/>
        <v>9674.3000000000211</v>
      </c>
      <c r="J87" s="19">
        <f t="shared" si="21"/>
        <v>27325.69999999999</v>
      </c>
    </row>
    <row r="88" spans="1:10" x14ac:dyDescent="0.2">
      <c r="A88" s="32">
        <v>128</v>
      </c>
      <c r="B88" s="33">
        <v>43</v>
      </c>
      <c r="C88" s="34">
        <v>31</v>
      </c>
      <c r="D88" s="16" t="str">
        <f t="shared" si="17"/>
        <v>Pago 31 de 43</v>
      </c>
      <c r="E88" s="17">
        <f>VLOOKUP(A88,Ventas[],15,FALSE)</f>
        <v>744.19</v>
      </c>
      <c r="F88" s="18">
        <v>46172</v>
      </c>
      <c r="G88" s="17">
        <f t="shared" si="18"/>
        <v>9674.3000000000211</v>
      </c>
      <c r="H88" s="17">
        <f t="shared" si="19"/>
        <v>27325.69999999999</v>
      </c>
      <c r="I88" s="17">
        <f t="shared" si="20"/>
        <v>8930.1100000000206</v>
      </c>
      <c r="J88" s="19">
        <f t="shared" si="21"/>
        <v>28069.889999999989</v>
      </c>
    </row>
    <row r="89" spans="1:10" x14ac:dyDescent="0.2">
      <c r="A89" s="32">
        <v>128</v>
      </c>
      <c r="B89" s="33">
        <v>43</v>
      </c>
      <c r="C89" s="34">
        <v>32</v>
      </c>
      <c r="D89" s="16" t="str">
        <f t="shared" si="17"/>
        <v>Pago 32 de 43</v>
      </c>
      <c r="E89" s="17">
        <f>VLOOKUP(A89,Ventas[],15,FALSE)</f>
        <v>744.19</v>
      </c>
      <c r="F89" s="18">
        <v>46173</v>
      </c>
      <c r="G89" s="17">
        <f t="shared" si="18"/>
        <v>8930.1100000000206</v>
      </c>
      <c r="H89" s="17">
        <f t="shared" si="19"/>
        <v>28069.889999999989</v>
      </c>
      <c r="I89" s="17">
        <f t="shared" si="20"/>
        <v>8185.9200000000201</v>
      </c>
      <c r="J89" s="19">
        <f t="shared" si="21"/>
        <v>28814.079999999987</v>
      </c>
    </row>
    <row r="90" spans="1:10" x14ac:dyDescent="0.2">
      <c r="A90" s="32">
        <v>128</v>
      </c>
      <c r="B90" s="33">
        <v>43</v>
      </c>
      <c r="C90" s="34">
        <v>33</v>
      </c>
      <c r="D90" s="16" t="str">
        <f t="shared" si="17"/>
        <v>Pago 33 de 43</v>
      </c>
      <c r="E90" s="17">
        <f>VLOOKUP(A90,Ventas[],15,FALSE)</f>
        <v>744.19</v>
      </c>
      <c r="F90" s="18">
        <v>46174</v>
      </c>
      <c r="G90" s="17">
        <f t="shared" si="18"/>
        <v>8185.9200000000201</v>
      </c>
      <c r="H90" s="17">
        <f t="shared" si="19"/>
        <v>28814.079999999987</v>
      </c>
      <c r="I90" s="17">
        <f t="shared" si="20"/>
        <v>7441.7300000000196</v>
      </c>
      <c r="J90" s="19">
        <f t="shared" si="21"/>
        <v>29558.269999999986</v>
      </c>
    </row>
    <row r="91" spans="1:10" x14ac:dyDescent="0.2">
      <c r="A91" s="32">
        <v>128</v>
      </c>
      <c r="B91" s="33">
        <v>43</v>
      </c>
      <c r="C91" s="34">
        <v>34</v>
      </c>
      <c r="D91" s="16" t="str">
        <f t="shared" si="17"/>
        <v>Pago 34 de 43</v>
      </c>
      <c r="E91" s="17">
        <f>VLOOKUP(A91,Ventas[],15,FALSE)</f>
        <v>744.19</v>
      </c>
      <c r="F91" s="18">
        <v>46175</v>
      </c>
      <c r="G91" s="17">
        <f t="shared" si="18"/>
        <v>7441.7300000000196</v>
      </c>
      <c r="H91" s="17">
        <f t="shared" si="19"/>
        <v>29558.269999999986</v>
      </c>
      <c r="I91" s="17">
        <f t="shared" si="20"/>
        <v>6697.5400000000191</v>
      </c>
      <c r="J91" s="19">
        <f t="shared" si="21"/>
        <v>30302.459999999985</v>
      </c>
    </row>
    <row r="92" spans="1:10" x14ac:dyDescent="0.2">
      <c r="A92" s="32">
        <v>128</v>
      </c>
      <c r="B92" s="33">
        <v>43</v>
      </c>
      <c r="C92" s="34">
        <v>35</v>
      </c>
      <c r="D92" s="16" t="str">
        <f t="shared" si="17"/>
        <v>Pago 35 de 43</v>
      </c>
      <c r="E92" s="17">
        <f>VLOOKUP(A92,Ventas[],15,FALSE)</f>
        <v>744.19</v>
      </c>
      <c r="F92" s="18">
        <v>46176</v>
      </c>
      <c r="G92" s="17">
        <f t="shared" si="18"/>
        <v>6697.5400000000191</v>
      </c>
      <c r="H92" s="17">
        <f t="shared" si="19"/>
        <v>30302.459999999985</v>
      </c>
      <c r="I92" s="17">
        <f t="shared" si="20"/>
        <v>5953.3500000000186</v>
      </c>
      <c r="J92" s="19">
        <f t="shared" si="21"/>
        <v>31046.649999999983</v>
      </c>
    </row>
    <row r="93" spans="1:10" x14ac:dyDescent="0.2">
      <c r="A93" s="32">
        <v>128</v>
      </c>
      <c r="B93" s="33">
        <v>43</v>
      </c>
      <c r="C93" s="34">
        <v>36</v>
      </c>
      <c r="D93" s="16" t="str">
        <f t="shared" si="17"/>
        <v>Pago 36 de 43</v>
      </c>
      <c r="E93" s="17">
        <f>VLOOKUP(A93,Ventas[],15,FALSE)</f>
        <v>744.19</v>
      </c>
      <c r="F93" s="18">
        <v>46177</v>
      </c>
      <c r="G93" s="17">
        <f t="shared" si="18"/>
        <v>5953.3500000000186</v>
      </c>
      <c r="H93" s="17">
        <f t="shared" si="19"/>
        <v>31046.649999999983</v>
      </c>
      <c r="I93" s="17">
        <f t="shared" si="20"/>
        <v>5209.160000000018</v>
      </c>
      <c r="J93" s="19">
        <f t="shared" si="21"/>
        <v>31790.839999999982</v>
      </c>
    </row>
    <row r="94" spans="1:10" x14ac:dyDescent="0.2">
      <c r="A94" s="32">
        <v>128</v>
      </c>
      <c r="B94" s="33">
        <v>43</v>
      </c>
      <c r="C94" s="34">
        <v>37</v>
      </c>
      <c r="D94" s="16" t="str">
        <f t="shared" si="17"/>
        <v>Pago 37 de 43</v>
      </c>
      <c r="E94" s="17">
        <f>VLOOKUP(A94,Ventas[],15,FALSE)</f>
        <v>744.19</v>
      </c>
      <c r="F94" s="18">
        <v>46178</v>
      </c>
      <c r="G94" s="17">
        <f t="shared" si="18"/>
        <v>5209.160000000018</v>
      </c>
      <c r="H94" s="17">
        <f t="shared" si="19"/>
        <v>31790.839999999982</v>
      </c>
      <c r="I94" s="17">
        <f t="shared" si="20"/>
        <v>4464.9700000000175</v>
      </c>
      <c r="J94" s="19">
        <f t="shared" si="21"/>
        <v>32535.029999999981</v>
      </c>
    </row>
    <row r="95" spans="1:10" x14ac:dyDescent="0.2">
      <c r="A95" s="32">
        <v>128</v>
      </c>
      <c r="B95" s="33">
        <v>43</v>
      </c>
      <c r="C95" s="34">
        <v>38</v>
      </c>
      <c r="D95" s="16" t="str">
        <f t="shared" si="17"/>
        <v>Pago 38 de 43</v>
      </c>
      <c r="E95" s="17">
        <f>VLOOKUP(A95,Ventas[],15,FALSE)</f>
        <v>744.19</v>
      </c>
      <c r="F95" s="18">
        <v>46179</v>
      </c>
      <c r="G95" s="17">
        <f t="shared" si="18"/>
        <v>4464.9700000000175</v>
      </c>
      <c r="H95" s="17">
        <f t="shared" si="19"/>
        <v>32535.029999999981</v>
      </c>
      <c r="I95" s="17">
        <f t="shared" si="20"/>
        <v>3720.7800000000175</v>
      </c>
      <c r="J95" s="19">
        <f t="shared" si="21"/>
        <v>33279.219999999979</v>
      </c>
    </row>
    <row r="96" spans="1:10" x14ac:dyDescent="0.2">
      <c r="A96" s="32">
        <v>128</v>
      </c>
      <c r="B96" s="33">
        <v>43</v>
      </c>
      <c r="C96" s="34">
        <v>39</v>
      </c>
      <c r="D96" s="16" t="str">
        <f t="shared" si="17"/>
        <v>Pago 39 de 43</v>
      </c>
      <c r="E96" s="17">
        <f>VLOOKUP(A96,Ventas[],15,FALSE)</f>
        <v>744.19</v>
      </c>
      <c r="F96" s="18">
        <v>46180</v>
      </c>
      <c r="G96" s="17">
        <f t="shared" si="18"/>
        <v>3720.7800000000175</v>
      </c>
      <c r="H96" s="17">
        <f t="shared" si="19"/>
        <v>33279.219999999979</v>
      </c>
      <c r="I96" s="17">
        <f t="shared" si="20"/>
        <v>2976.5900000000174</v>
      </c>
      <c r="J96" s="19">
        <f t="shared" si="21"/>
        <v>34023.409999999982</v>
      </c>
    </row>
    <row r="97" spans="1:10" x14ac:dyDescent="0.2">
      <c r="A97" s="32">
        <v>128</v>
      </c>
      <c r="B97" s="33">
        <v>43</v>
      </c>
      <c r="C97" s="34">
        <v>40</v>
      </c>
      <c r="D97" s="16" t="str">
        <f t="shared" si="17"/>
        <v>Pago 40 de 43</v>
      </c>
      <c r="E97" s="17">
        <f>VLOOKUP(A97,Ventas[],15,FALSE)</f>
        <v>744.19</v>
      </c>
      <c r="F97" s="18">
        <v>46181</v>
      </c>
      <c r="G97" s="17">
        <f t="shared" si="18"/>
        <v>2976.5900000000174</v>
      </c>
      <c r="H97" s="17">
        <f t="shared" si="19"/>
        <v>34023.409999999982</v>
      </c>
      <c r="I97" s="17">
        <f t="shared" si="20"/>
        <v>2232.4000000000174</v>
      </c>
      <c r="J97" s="19">
        <f t="shared" si="21"/>
        <v>34767.599999999984</v>
      </c>
    </row>
    <row r="98" spans="1:10" x14ac:dyDescent="0.2">
      <c r="A98" s="32">
        <v>128</v>
      </c>
      <c r="B98" s="33">
        <v>43</v>
      </c>
      <c r="C98" s="34">
        <v>41</v>
      </c>
      <c r="D98" s="16" t="str">
        <f t="shared" si="17"/>
        <v>Pago 41 de 43</v>
      </c>
      <c r="E98" s="17">
        <f>VLOOKUP(A98,Ventas[],15,FALSE)</f>
        <v>744.19</v>
      </c>
      <c r="F98" s="18">
        <v>46182</v>
      </c>
      <c r="G98" s="17">
        <f t="shared" si="18"/>
        <v>2232.4000000000174</v>
      </c>
      <c r="H98" s="17">
        <f t="shared" si="19"/>
        <v>34767.599999999984</v>
      </c>
      <c r="I98" s="17">
        <f t="shared" si="20"/>
        <v>1488.2100000000173</v>
      </c>
      <c r="J98" s="19">
        <f t="shared" si="21"/>
        <v>35511.789999999986</v>
      </c>
    </row>
    <row r="99" spans="1:10" x14ac:dyDescent="0.2">
      <c r="A99" s="32">
        <v>128</v>
      </c>
      <c r="B99" s="33">
        <v>43</v>
      </c>
      <c r="C99" s="34">
        <v>42</v>
      </c>
      <c r="D99" s="16" t="str">
        <f t="shared" si="17"/>
        <v>Pago 42 de 43</v>
      </c>
      <c r="E99" s="17">
        <f>VLOOKUP(A99,Ventas[],15,FALSE)</f>
        <v>744.19</v>
      </c>
      <c r="F99" s="18">
        <v>46183</v>
      </c>
      <c r="G99" s="17">
        <f t="shared" si="18"/>
        <v>1488.2100000000173</v>
      </c>
      <c r="H99" s="17">
        <f t="shared" si="19"/>
        <v>35511.789999999986</v>
      </c>
      <c r="I99" s="17">
        <f t="shared" si="20"/>
        <v>744.02000000001726</v>
      </c>
      <c r="J99" s="19">
        <f t="shared" si="21"/>
        <v>36255.979999999989</v>
      </c>
    </row>
    <row r="100" spans="1:10" x14ac:dyDescent="0.2">
      <c r="A100" s="32">
        <v>128</v>
      </c>
      <c r="B100" s="33">
        <v>43</v>
      </c>
      <c r="C100" s="34">
        <v>43</v>
      </c>
      <c r="D100" s="16" t="str">
        <f t="shared" si="17"/>
        <v>Pago 43 de 43</v>
      </c>
      <c r="E100" s="17">
        <f>VLOOKUP(A100,Ventas[],15,FALSE)-0.17</f>
        <v>744.0200000000001</v>
      </c>
      <c r="F100" s="18">
        <v>46184</v>
      </c>
      <c r="G100" s="17">
        <f t="shared" si="18"/>
        <v>744.02000000001726</v>
      </c>
      <c r="H100" s="17">
        <f t="shared" si="19"/>
        <v>36255.979999999989</v>
      </c>
      <c r="I100" s="17">
        <f>G100-E100</f>
        <v>1.716671249596402E-11</v>
      </c>
      <c r="J100" s="19">
        <f t="shared" si="21"/>
        <v>36999.999999999985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73FA8-5B8E-3E41-B69D-A329F4C2670D}">
  <dimension ref="A1:J47"/>
  <sheetViews>
    <sheetView workbookViewId="0">
      <selection activeCell="F19" sqref="F19"/>
    </sheetView>
  </sheetViews>
  <sheetFormatPr baseColWidth="10" defaultRowHeight="16" x14ac:dyDescent="0.2"/>
  <cols>
    <col min="4" max="4" width="16.5" customWidth="1"/>
    <col min="5" max="5" width="18.5" style="2" customWidth="1"/>
    <col min="6" max="6" width="14.6640625" customWidth="1"/>
    <col min="7" max="7" width="22.5" style="2" customWidth="1"/>
    <col min="8" max="8" width="25.1640625" style="2" customWidth="1"/>
    <col min="9" max="9" width="22" style="2" customWidth="1"/>
    <col min="10" max="10" width="23.83203125" style="2" customWidth="1"/>
  </cols>
  <sheetData>
    <row r="1" spans="1:10" x14ac:dyDescent="0.2">
      <c r="A1" t="s">
        <v>0</v>
      </c>
      <c r="B1" t="s">
        <v>9</v>
      </c>
      <c r="C1" t="s">
        <v>21</v>
      </c>
      <c r="D1" t="s">
        <v>17</v>
      </c>
      <c r="E1" s="2" t="s">
        <v>18</v>
      </c>
      <c r="F1" t="s">
        <v>19</v>
      </c>
      <c r="G1" s="2" t="s">
        <v>28</v>
      </c>
      <c r="H1" s="2" t="s">
        <v>29</v>
      </c>
      <c r="I1" s="2" t="s">
        <v>30</v>
      </c>
      <c r="J1" s="2" t="s">
        <v>31</v>
      </c>
    </row>
    <row r="2" spans="1:10" x14ac:dyDescent="0.2">
      <c r="A2">
        <v>123</v>
      </c>
      <c r="B2">
        <v>20</v>
      </c>
      <c r="C2">
        <v>0</v>
      </c>
      <c r="D2" t="s">
        <v>10</v>
      </c>
      <c r="E2" s="2">
        <v>1300</v>
      </c>
      <c r="F2" s="1">
        <v>46135</v>
      </c>
      <c r="G2" s="2">
        <v>15580</v>
      </c>
      <c r="H2" s="2">
        <v>0</v>
      </c>
      <c r="I2" s="2">
        <f>G2-E2</f>
        <v>14280</v>
      </c>
      <c r="J2" s="2">
        <f>H2+E2</f>
        <v>1300</v>
      </c>
    </row>
    <row r="3" spans="1:10" x14ac:dyDescent="0.2">
      <c r="A3">
        <v>123</v>
      </c>
      <c r="B3">
        <v>20</v>
      </c>
      <c r="C3">
        <v>1</v>
      </c>
      <c r="D3" t="s">
        <v>20</v>
      </c>
      <c r="E3" s="2">
        <v>800</v>
      </c>
      <c r="F3" s="1">
        <v>46136</v>
      </c>
      <c r="G3" s="2">
        <f>I2</f>
        <v>14280</v>
      </c>
      <c r="H3" s="2">
        <f>J2</f>
        <v>1300</v>
      </c>
      <c r="I3" s="2">
        <f>G3-E3</f>
        <v>13480</v>
      </c>
      <c r="J3" s="2">
        <f>E3+H3</f>
        <v>2100</v>
      </c>
    </row>
    <row r="4" spans="1:10" x14ac:dyDescent="0.2">
      <c r="A4">
        <v>123</v>
      </c>
      <c r="B4">
        <v>20</v>
      </c>
      <c r="C4">
        <v>2</v>
      </c>
      <c r="D4" t="s">
        <v>32</v>
      </c>
      <c r="G4" s="2">
        <f t="shared" ref="G4:H22" si="0">I3</f>
        <v>13480</v>
      </c>
      <c r="H4" s="2">
        <f t="shared" si="0"/>
        <v>2100</v>
      </c>
      <c r="I4" s="2">
        <f>G4-E4</f>
        <v>13480</v>
      </c>
      <c r="J4" s="2">
        <f t="shared" ref="J4:J22" si="1">E4+H4</f>
        <v>2100</v>
      </c>
    </row>
    <row r="5" spans="1:10" x14ac:dyDescent="0.2">
      <c r="A5">
        <v>123</v>
      </c>
      <c r="B5">
        <v>20</v>
      </c>
      <c r="C5">
        <v>3</v>
      </c>
      <c r="D5" t="s">
        <v>33</v>
      </c>
      <c r="G5" s="2">
        <f t="shared" si="0"/>
        <v>13480</v>
      </c>
      <c r="H5" s="2">
        <f t="shared" si="0"/>
        <v>2100</v>
      </c>
      <c r="I5" s="2">
        <f t="shared" ref="I5:I22" si="2">G5-E5</f>
        <v>13480</v>
      </c>
      <c r="J5" s="2">
        <f t="shared" si="1"/>
        <v>2100</v>
      </c>
    </row>
    <row r="6" spans="1:10" x14ac:dyDescent="0.2">
      <c r="A6">
        <v>123</v>
      </c>
      <c r="B6">
        <v>20</v>
      </c>
      <c r="C6">
        <v>4</v>
      </c>
      <c r="D6" t="s">
        <v>34</v>
      </c>
      <c r="G6" s="2">
        <f t="shared" si="0"/>
        <v>13480</v>
      </c>
      <c r="H6" s="2">
        <f t="shared" si="0"/>
        <v>2100</v>
      </c>
      <c r="I6" s="2">
        <f t="shared" si="2"/>
        <v>13480</v>
      </c>
      <c r="J6" s="2">
        <f t="shared" si="1"/>
        <v>2100</v>
      </c>
    </row>
    <row r="7" spans="1:10" x14ac:dyDescent="0.2">
      <c r="A7">
        <v>123</v>
      </c>
      <c r="B7">
        <v>20</v>
      </c>
      <c r="C7">
        <v>5</v>
      </c>
      <c r="D7" t="s">
        <v>35</v>
      </c>
      <c r="G7" s="2">
        <f t="shared" si="0"/>
        <v>13480</v>
      </c>
      <c r="H7" s="2">
        <f t="shared" si="0"/>
        <v>2100</v>
      </c>
      <c r="I7" s="2">
        <f t="shared" si="2"/>
        <v>13480</v>
      </c>
      <c r="J7" s="2">
        <f t="shared" si="1"/>
        <v>2100</v>
      </c>
    </row>
    <row r="8" spans="1:10" x14ac:dyDescent="0.2">
      <c r="A8">
        <v>123</v>
      </c>
      <c r="B8">
        <v>20</v>
      </c>
      <c r="C8">
        <v>6</v>
      </c>
      <c r="D8" t="s">
        <v>36</v>
      </c>
      <c r="G8" s="2">
        <f t="shared" si="0"/>
        <v>13480</v>
      </c>
      <c r="H8" s="2">
        <f t="shared" si="0"/>
        <v>2100</v>
      </c>
      <c r="I8" s="2">
        <f t="shared" si="2"/>
        <v>13480</v>
      </c>
      <c r="J8" s="2">
        <f t="shared" si="1"/>
        <v>2100</v>
      </c>
    </row>
    <row r="9" spans="1:10" x14ac:dyDescent="0.2">
      <c r="A9">
        <v>123</v>
      </c>
      <c r="B9">
        <v>20</v>
      </c>
      <c r="C9">
        <v>7</v>
      </c>
      <c r="D9" t="s">
        <v>37</v>
      </c>
      <c r="G9" s="2">
        <f t="shared" si="0"/>
        <v>13480</v>
      </c>
      <c r="H9" s="2">
        <f t="shared" si="0"/>
        <v>2100</v>
      </c>
      <c r="I9" s="2">
        <f t="shared" si="2"/>
        <v>13480</v>
      </c>
      <c r="J9" s="2">
        <f t="shared" si="1"/>
        <v>2100</v>
      </c>
    </row>
    <row r="10" spans="1:10" x14ac:dyDescent="0.2">
      <c r="A10">
        <v>123</v>
      </c>
      <c r="B10">
        <v>20</v>
      </c>
      <c r="C10">
        <v>8</v>
      </c>
      <c r="D10" t="s">
        <v>38</v>
      </c>
      <c r="G10" s="2">
        <f t="shared" si="0"/>
        <v>13480</v>
      </c>
      <c r="H10" s="2">
        <f t="shared" si="0"/>
        <v>2100</v>
      </c>
      <c r="I10" s="2">
        <f t="shared" si="2"/>
        <v>13480</v>
      </c>
      <c r="J10" s="2">
        <f t="shared" si="1"/>
        <v>2100</v>
      </c>
    </row>
    <row r="11" spans="1:10" x14ac:dyDescent="0.2">
      <c r="A11">
        <v>123</v>
      </c>
      <c r="B11">
        <v>20</v>
      </c>
      <c r="C11">
        <v>9</v>
      </c>
      <c r="D11" t="s">
        <v>39</v>
      </c>
      <c r="G11" s="2">
        <f t="shared" si="0"/>
        <v>13480</v>
      </c>
      <c r="H11" s="2">
        <f t="shared" si="0"/>
        <v>2100</v>
      </c>
      <c r="I11" s="2">
        <f t="shared" si="2"/>
        <v>13480</v>
      </c>
      <c r="J11" s="2">
        <f t="shared" si="1"/>
        <v>2100</v>
      </c>
    </row>
    <row r="12" spans="1:10" x14ac:dyDescent="0.2">
      <c r="A12">
        <v>123</v>
      </c>
      <c r="B12">
        <v>20</v>
      </c>
      <c r="C12">
        <v>10</v>
      </c>
      <c r="D12" t="s">
        <v>40</v>
      </c>
      <c r="G12" s="2">
        <f t="shared" si="0"/>
        <v>13480</v>
      </c>
      <c r="H12" s="2">
        <f t="shared" si="0"/>
        <v>2100</v>
      </c>
      <c r="I12" s="2">
        <f t="shared" si="2"/>
        <v>13480</v>
      </c>
      <c r="J12" s="2">
        <f t="shared" si="1"/>
        <v>2100</v>
      </c>
    </row>
    <row r="13" spans="1:10" x14ac:dyDescent="0.2">
      <c r="A13">
        <v>123</v>
      </c>
      <c r="B13">
        <v>20</v>
      </c>
      <c r="C13">
        <v>11</v>
      </c>
      <c r="D13" t="s">
        <v>41</v>
      </c>
      <c r="G13" s="2">
        <f t="shared" si="0"/>
        <v>13480</v>
      </c>
      <c r="H13" s="2">
        <f t="shared" si="0"/>
        <v>2100</v>
      </c>
      <c r="I13" s="2">
        <f t="shared" si="2"/>
        <v>13480</v>
      </c>
      <c r="J13" s="2">
        <f t="shared" si="1"/>
        <v>2100</v>
      </c>
    </row>
    <row r="14" spans="1:10" x14ac:dyDescent="0.2">
      <c r="A14">
        <v>123</v>
      </c>
      <c r="B14">
        <v>20</v>
      </c>
      <c r="C14">
        <v>12</v>
      </c>
      <c r="D14" t="s">
        <v>42</v>
      </c>
      <c r="G14" s="2">
        <f t="shared" si="0"/>
        <v>13480</v>
      </c>
      <c r="H14" s="2">
        <f t="shared" si="0"/>
        <v>2100</v>
      </c>
      <c r="I14" s="2">
        <f t="shared" si="2"/>
        <v>13480</v>
      </c>
      <c r="J14" s="2">
        <f t="shared" si="1"/>
        <v>2100</v>
      </c>
    </row>
    <row r="15" spans="1:10" x14ac:dyDescent="0.2">
      <c r="A15">
        <v>123</v>
      </c>
      <c r="B15">
        <v>20</v>
      </c>
      <c r="C15">
        <v>13</v>
      </c>
      <c r="D15" t="s">
        <v>43</v>
      </c>
      <c r="G15" s="2">
        <f t="shared" si="0"/>
        <v>13480</v>
      </c>
      <c r="H15" s="2">
        <f t="shared" si="0"/>
        <v>2100</v>
      </c>
      <c r="I15" s="2">
        <f t="shared" si="2"/>
        <v>13480</v>
      </c>
      <c r="J15" s="2">
        <f t="shared" si="1"/>
        <v>2100</v>
      </c>
    </row>
    <row r="16" spans="1:10" x14ac:dyDescent="0.2">
      <c r="A16">
        <v>123</v>
      </c>
      <c r="B16">
        <v>20</v>
      </c>
      <c r="C16">
        <v>14</v>
      </c>
      <c r="D16" t="s">
        <v>44</v>
      </c>
      <c r="G16" s="2">
        <f t="shared" si="0"/>
        <v>13480</v>
      </c>
      <c r="H16" s="2">
        <f t="shared" si="0"/>
        <v>2100</v>
      </c>
      <c r="I16" s="2">
        <f t="shared" si="2"/>
        <v>13480</v>
      </c>
      <c r="J16" s="2">
        <f t="shared" si="1"/>
        <v>2100</v>
      </c>
    </row>
    <row r="17" spans="1:10" x14ac:dyDescent="0.2">
      <c r="A17">
        <v>123</v>
      </c>
      <c r="B17">
        <v>20</v>
      </c>
      <c r="C17">
        <v>15</v>
      </c>
      <c r="D17" t="s">
        <v>45</v>
      </c>
      <c r="G17" s="2">
        <f t="shared" si="0"/>
        <v>13480</v>
      </c>
      <c r="H17" s="2">
        <f t="shared" si="0"/>
        <v>2100</v>
      </c>
      <c r="I17" s="2">
        <f t="shared" si="2"/>
        <v>13480</v>
      </c>
      <c r="J17" s="2">
        <f t="shared" si="1"/>
        <v>2100</v>
      </c>
    </row>
    <row r="18" spans="1:10" x14ac:dyDescent="0.2">
      <c r="A18">
        <v>123</v>
      </c>
      <c r="B18">
        <v>20</v>
      </c>
      <c r="C18">
        <v>16</v>
      </c>
      <c r="D18" t="s">
        <v>46</v>
      </c>
      <c r="G18" s="2">
        <f t="shared" si="0"/>
        <v>13480</v>
      </c>
      <c r="H18" s="2">
        <f t="shared" si="0"/>
        <v>2100</v>
      </c>
      <c r="I18" s="2">
        <f t="shared" si="2"/>
        <v>13480</v>
      </c>
      <c r="J18" s="2">
        <f t="shared" si="1"/>
        <v>2100</v>
      </c>
    </row>
    <row r="19" spans="1:10" x14ac:dyDescent="0.2">
      <c r="A19">
        <v>123</v>
      </c>
      <c r="B19">
        <v>20</v>
      </c>
      <c r="C19">
        <v>17</v>
      </c>
      <c r="D19" t="s">
        <v>47</v>
      </c>
      <c r="G19" s="2">
        <f t="shared" si="0"/>
        <v>13480</v>
      </c>
      <c r="H19" s="2">
        <f t="shared" si="0"/>
        <v>2100</v>
      </c>
      <c r="I19" s="2">
        <f t="shared" si="2"/>
        <v>13480</v>
      </c>
      <c r="J19" s="2">
        <f t="shared" si="1"/>
        <v>2100</v>
      </c>
    </row>
    <row r="20" spans="1:10" x14ac:dyDescent="0.2">
      <c r="A20">
        <v>123</v>
      </c>
      <c r="B20">
        <v>20</v>
      </c>
      <c r="C20">
        <v>18</v>
      </c>
      <c r="D20" t="s">
        <v>48</v>
      </c>
      <c r="G20" s="2">
        <f t="shared" si="0"/>
        <v>13480</v>
      </c>
      <c r="H20" s="2">
        <f t="shared" si="0"/>
        <v>2100</v>
      </c>
      <c r="I20" s="2">
        <f t="shared" si="2"/>
        <v>13480</v>
      </c>
      <c r="J20" s="2">
        <f t="shared" si="1"/>
        <v>2100</v>
      </c>
    </row>
    <row r="21" spans="1:10" x14ac:dyDescent="0.2">
      <c r="A21">
        <v>123</v>
      </c>
      <c r="B21">
        <v>20</v>
      </c>
      <c r="C21">
        <v>19</v>
      </c>
      <c r="D21" t="s">
        <v>49</v>
      </c>
      <c r="G21" s="2">
        <f t="shared" si="0"/>
        <v>13480</v>
      </c>
      <c r="H21" s="2">
        <f t="shared" si="0"/>
        <v>2100</v>
      </c>
      <c r="I21" s="2">
        <f t="shared" si="2"/>
        <v>13480</v>
      </c>
      <c r="J21" s="2">
        <f t="shared" si="1"/>
        <v>2100</v>
      </c>
    </row>
    <row r="22" spans="1:10" x14ac:dyDescent="0.2">
      <c r="A22">
        <v>123</v>
      </c>
      <c r="B22">
        <v>20</v>
      </c>
      <c r="C22">
        <v>20</v>
      </c>
      <c r="D22" t="s">
        <v>50</v>
      </c>
      <c r="G22" s="2">
        <f t="shared" si="0"/>
        <v>13480</v>
      </c>
      <c r="H22" s="2">
        <f t="shared" si="0"/>
        <v>2100</v>
      </c>
      <c r="I22" s="2">
        <f t="shared" si="2"/>
        <v>13480</v>
      </c>
      <c r="J22" s="2">
        <f t="shared" si="1"/>
        <v>2100</v>
      </c>
    </row>
    <row r="23" spans="1:10" x14ac:dyDescent="0.2">
      <c r="A23">
        <v>124</v>
      </c>
      <c r="B23">
        <v>3</v>
      </c>
      <c r="C23">
        <v>0</v>
      </c>
      <c r="D23" t="s">
        <v>10</v>
      </c>
      <c r="G23" s="2">
        <v>500</v>
      </c>
      <c r="H23" s="2">
        <v>0</v>
      </c>
      <c r="I23" s="2">
        <v>500</v>
      </c>
      <c r="J23" s="2">
        <v>0</v>
      </c>
    </row>
    <row r="24" spans="1:10" x14ac:dyDescent="0.2">
      <c r="A24">
        <v>124</v>
      </c>
      <c r="B24">
        <v>3</v>
      </c>
      <c r="C24">
        <v>1</v>
      </c>
      <c r="D24" t="s">
        <v>51</v>
      </c>
      <c r="G24" s="2">
        <v>300</v>
      </c>
      <c r="H24" s="2">
        <v>0</v>
      </c>
      <c r="I24" s="2">
        <v>500</v>
      </c>
      <c r="J24" s="2">
        <v>0</v>
      </c>
    </row>
    <row r="25" spans="1:10" x14ac:dyDescent="0.2">
      <c r="A25">
        <v>124</v>
      </c>
      <c r="B25">
        <v>3</v>
      </c>
      <c r="C25">
        <v>2</v>
      </c>
      <c r="D25" t="s">
        <v>52</v>
      </c>
      <c r="G25" s="2">
        <v>200</v>
      </c>
      <c r="H25" s="2">
        <v>0</v>
      </c>
      <c r="I25" s="2">
        <v>500</v>
      </c>
      <c r="J25" s="2">
        <v>0</v>
      </c>
    </row>
    <row r="26" spans="1:10" x14ac:dyDescent="0.2">
      <c r="A26">
        <v>124</v>
      </c>
      <c r="B26">
        <v>3</v>
      </c>
      <c r="C26">
        <v>3</v>
      </c>
      <c r="D26" t="s">
        <v>53</v>
      </c>
      <c r="G26" s="2">
        <v>100</v>
      </c>
      <c r="H26" s="2">
        <v>0</v>
      </c>
      <c r="I26" s="2">
        <v>500</v>
      </c>
      <c r="J26" s="2">
        <v>0</v>
      </c>
    </row>
    <row r="27" spans="1:10" x14ac:dyDescent="0.2">
      <c r="A27">
        <v>125</v>
      </c>
      <c r="B27">
        <v>20</v>
      </c>
      <c r="C27">
        <v>0</v>
      </c>
      <c r="D27" t="s">
        <v>10</v>
      </c>
      <c r="G27" s="2">
        <v>12090</v>
      </c>
      <c r="H27" s="2">
        <v>0</v>
      </c>
      <c r="I27" s="2">
        <v>12090</v>
      </c>
      <c r="J27" s="2">
        <v>0</v>
      </c>
    </row>
    <row r="28" spans="1:10" x14ac:dyDescent="0.2">
      <c r="A28">
        <v>125</v>
      </c>
      <c r="B28">
        <v>20</v>
      </c>
      <c r="C28">
        <v>1</v>
      </c>
      <c r="D28" t="s">
        <v>20</v>
      </c>
      <c r="G28" s="2">
        <v>12090</v>
      </c>
      <c r="H28" s="2">
        <v>0</v>
      </c>
      <c r="I28" s="2">
        <v>12090</v>
      </c>
      <c r="J28" s="2">
        <v>0</v>
      </c>
    </row>
    <row r="29" spans="1:10" x14ac:dyDescent="0.2">
      <c r="A29">
        <v>125</v>
      </c>
      <c r="B29">
        <v>20</v>
      </c>
      <c r="C29">
        <v>2</v>
      </c>
      <c r="D29" t="s">
        <v>32</v>
      </c>
      <c r="G29" s="2">
        <v>12090</v>
      </c>
      <c r="H29" s="2">
        <v>0</v>
      </c>
      <c r="I29" s="2">
        <v>12090</v>
      </c>
      <c r="J29" s="2">
        <v>0</v>
      </c>
    </row>
    <row r="30" spans="1:10" x14ac:dyDescent="0.2">
      <c r="A30">
        <v>125</v>
      </c>
      <c r="B30">
        <v>20</v>
      </c>
      <c r="C30">
        <v>3</v>
      </c>
      <c r="D30" t="s">
        <v>33</v>
      </c>
      <c r="G30" s="2">
        <v>12090</v>
      </c>
      <c r="H30" s="2">
        <v>0</v>
      </c>
      <c r="I30" s="2">
        <v>12090</v>
      </c>
      <c r="J30" s="2">
        <v>0</v>
      </c>
    </row>
    <row r="31" spans="1:10" x14ac:dyDescent="0.2">
      <c r="A31">
        <v>125</v>
      </c>
      <c r="B31">
        <v>20</v>
      </c>
      <c r="C31">
        <v>4</v>
      </c>
      <c r="D31" t="s">
        <v>34</v>
      </c>
      <c r="G31" s="2">
        <v>12090</v>
      </c>
      <c r="H31" s="2">
        <v>0</v>
      </c>
      <c r="I31" s="2">
        <v>12090</v>
      </c>
      <c r="J31" s="2">
        <v>0</v>
      </c>
    </row>
    <row r="32" spans="1:10" x14ac:dyDescent="0.2">
      <c r="A32">
        <v>125</v>
      </c>
      <c r="B32">
        <v>20</v>
      </c>
      <c r="C32">
        <v>5</v>
      </c>
      <c r="D32" t="s">
        <v>35</v>
      </c>
      <c r="G32" s="2">
        <v>12090</v>
      </c>
      <c r="H32" s="2">
        <v>0</v>
      </c>
      <c r="I32" s="2">
        <v>12090</v>
      </c>
      <c r="J32" s="2">
        <v>0</v>
      </c>
    </row>
    <row r="33" spans="1:10" x14ac:dyDescent="0.2">
      <c r="A33">
        <v>125</v>
      </c>
      <c r="B33">
        <v>20</v>
      </c>
      <c r="C33">
        <v>6</v>
      </c>
      <c r="D33" t="s">
        <v>36</v>
      </c>
      <c r="G33" s="2">
        <v>12090</v>
      </c>
      <c r="H33" s="2">
        <v>0</v>
      </c>
      <c r="I33" s="2">
        <v>12090</v>
      </c>
      <c r="J33" s="2">
        <v>0</v>
      </c>
    </row>
    <row r="34" spans="1:10" x14ac:dyDescent="0.2">
      <c r="A34">
        <v>125</v>
      </c>
      <c r="B34">
        <v>20</v>
      </c>
      <c r="C34">
        <v>7</v>
      </c>
      <c r="D34" t="s">
        <v>37</v>
      </c>
      <c r="G34" s="2">
        <v>12090</v>
      </c>
      <c r="H34" s="2">
        <v>0</v>
      </c>
      <c r="I34" s="2">
        <v>12090</v>
      </c>
      <c r="J34" s="2">
        <v>0</v>
      </c>
    </row>
    <row r="35" spans="1:10" x14ac:dyDescent="0.2">
      <c r="A35">
        <v>125</v>
      </c>
      <c r="B35">
        <v>20</v>
      </c>
      <c r="C35">
        <v>8</v>
      </c>
      <c r="D35" t="s">
        <v>38</v>
      </c>
      <c r="G35" s="2">
        <v>12090</v>
      </c>
      <c r="H35" s="2">
        <v>0</v>
      </c>
      <c r="I35" s="2">
        <v>12090</v>
      </c>
      <c r="J35" s="2">
        <v>0</v>
      </c>
    </row>
    <row r="36" spans="1:10" x14ac:dyDescent="0.2">
      <c r="A36">
        <v>125</v>
      </c>
      <c r="B36">
        <v>20</v>
      </c>
      <c r="C36">
        <v>9</v>
      </c>
      <c r="D36" t="s">
        <v>39</v>
      </c>
      <c r="G36" s="2">
        <v>12090</v>
      </c>
      <c r="H36" s="2">
        <v>0</v>
      </c>
      <c r="I36" s="2">
        <v>12090</v>
      </c>
      <c r="J36" s="2">
        <v>0</v>
      </c>
    </row>
    <row r="37" spans="1:10" x14ac:dyDescent="0.2">
      <c r="A37">
        <v>125</v>
      </c>
      <c r="B37">
        <v>20</v>
      </c>
      <c r="C37">
        <v>10</v>
      </c>
      <c r="D37" t="s">
        <v>40</v>
      </c>
      <c r="G37" s="2">
        <v>12090</v>
      </c>
      <c r="H37" s="2">
        <v>0</v>
      </c>
      <c r="I37" s="2">
        <v>12090</v>
      </c>
      <c r="J37" s="2">
        <v>0</v>
      </c>
    </row>
    <row r="38" spans="1:10" x14ac:dyDescent="0.2">
      <c r="A38">
        <v>125</v>
      </c>
      <c r="B38">
        <v>20</v>
      </c>
      <c r="C38">
        <v>11</v>
      </c>
      <c r="D38" t="s">
        <v>41</v>
      </c>
      <c r="G38" s="2">
        <v>12090</v>
      </c>
      <c r="H38" s="2">
        <v>0</v>
      </c>
      <c r="I38" s="2">
        <v>12090</v>
      </c>
      <c r="J38" s="2">
        <v>0</v>
      </c>
    </row>
    <row r="39" spans="1:10" x14ac:dyDescent="0.2">
      <c r="A39">
        <v>125</v>
      </c>
      <c r="B39">
        <v>20</v>
      </c>
      <c r="C39">
        <v>12</v>
      </c>
      <c r="D39" t="s">
        <v>42</v>
      </c>
      <c r="G39" s="2">
        <v>12090</v>
      </c>
      <c r="H39" s="2">
        <v>0</v>
      </c>
      <c r="I39" s="2">
        <v>12090</v>
      </c>
      <c r="J39" s="2">
        <v>0</v>
      </c>
    </row>
    <row r="40" spans="1:10" x14ac:dyDescent="0.2">
      <c r="A40">
        <v>125</v>
      </c>
      <c r="B40">
        <v>20</v>
      </c>
      <c r="C40">
        <v>13</v>
      </c>
      <c r="D40" t="s">
        <v>43</v>
      </c>
      <c r="G40" s="2">
        <v>12090</v>
      </c>
      <c r="H40" s="2">
        <v>0</v>
      </c>
      <c r="I40" s="2">
        <v>12090</v>
      </c>
      <c r="J40" s="2">
        <v>0</v>
      </c>
    </row>
    <row r="41" spans="1:10" x14ac:dyDescent="0.2">
      <c r="A41">
        <v>125</v>
      </c>
      <c r="B41">
        <v>20</v>
      </c>
      <c r="C41">
        <v>14</v>
      </c>
      <c r="D41" t="s">
        <v>44</v>
      </c>
      <c r="G41" s="2">
        <v>12090</v>
      </c>
      <c r="H41" s="2">
        <v>0</v>
      </c>
      <c r="I41" s="2">
        <v>12090</v>
      </c>
      <c r="J41" s="2">
        <v>0</v>
      </c>
    </row>
    <row r="42" spans="1:10" x14ac:dyDescent="0.2">
      <c r="A42">
        <v>125</v>
      </c>
      <c r="B42">
        <v>20</v>
      </c>
      <c r="C42">
        <v>15</v>
      </c>
      <c r="D42" t="s">
        <v>45</v>
      </c>
      <c r="G42" s="2">
        <v>12090</v>
      </c>
      <c r="H42" s="2">
        <v>0</v>
      </c>
      <c r="I42" s="2">
        <v>12090</v>
      </c>
      <c r="J42" s="2">
        <v>0</v>
      </c>
    </row>
    <row r="43" spans="1:10" x14ac:dyDescent="0.2">
      <c r="A43">
        <v>125</v>
      </c>
      <c r="B43">
        <v>20</v>
      </c>
      <c r="C43">
        <v>16</v>
      </c>
      <c r="D43" t="s">
        <v>46</v>
      </c>
      <c r="G43" s="2">
        <v>12090</v>
      </c>
      <c r="H43" s="2">
        <v>0</v>
      </c>
      <c r="I43" s="2">
        <v>12090</v>
      </c>
      <c r="J43" s="2">
        <v>0</v>
      </c>
    </row>
    <row r="44" spans="1:10" x14ac:dyDescent="0.2">
      <c r="A44">
        <v>125</v>
      </c>
      <c r="B44">
        <v>20</v>
      </c>
      <c r="C44">
        <v>17</v>
      </c>
      <c r="D44" t="s">
        <v>47</v>
      </c>
      <c r="G44" s="2">
        <v>12090</v>
      </c>
      <c r="H44" s="2">
        <v>0</v>
      </c>
      <c r="I44" s="2">
        <v>12090</v>
      </c>
      <c r="J44" s="2">
        <v>0</v>
      </c>
    </row>
    <row r="45" spans="1:10" x14ac:dyDescent="0.2">
      <c r="A45">
        <v>125</v>
      </c>
      <c r="B45">
        <v>20</v>
      </c>
      <c r="C45">
        <v>18</v>
      </c>
      <c r="D45" t="s">
        <v>48</v>
      </c>
      <c r="G45" s="2">
        <v>12090</v>
      </c>
      <c r="H45" s="2">
        <v>0</v>
      </c>
      <c r="I45" s="2">
        <v>12090</v>
      </c>
      <c r="J45" s="2">
        <v>0</v>
      </c>
    </row>
    <row r="46" spans="1:10" x14ac:dyDescent="0.2">
      <c r="A46">
        <v>125</v>
      </c>
      <c r="B46">
        <v>20</v>
      </c>
      <c r="C46">
        <v>19</v>
      </c>
      <c r="D46" t="s">
        <v>49</v>
      </c>
      <c r="G46" s="2">
        <v>12090</v>
      </c>
      <c r="H46" s="2">
        <v>0</v>
      </c>
      <c r="I46" s="2">
        <v>12090</v>
      </c>
      <c r="J46" s="2">
        <v>0</v>
      </c>
    </row>
    <row r="47" spans="1:10" x14ac:dyDescent="0.2">
      <c r="A47">
        <v>125</v>
      </c>
      <c r="B47">
        <v>20</v>
      </c>
      <c r="C47">
        <v>20</v>
      </c>
      <c r="D47" t="s">
        <v>50</v>
      </c>
      <c r="G47" s="2">
        <v>12090</v>
      </c>
      <c r="H47" s="2">
        <v>0</v>
      </c>
      <c r="I47" s="2">
        <v>12090</v>
      </c>
      <c r="J4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Ventas</vt:lpstr>
      <vt:lpstr>Pagos</vt:lpstr>
      <vt:lpstr>Amortizaciones</vt:lpstr>
      <vt:lpstr>Mapa de Pagos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Badillo Salas</dc:creator>
  <cp:lastModifiedBy>Alan Badillo Salas</cp:lastModifiedBy>
  <dcterms:created xsi:type="dcterms:W3CDTF">2026-05-05T23:21:47Z</dcterms:created>
  <dcterms:modified xsi:type="dcterms:W3CDTF">2026-05-06T00:14:52Z</dcterms:modified>
</cp:coreProperties>
</file>