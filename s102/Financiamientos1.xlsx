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power-bi-scotiabank-2026/s102/"/>
    </mc:Choice>
  </mc:AlternateContent>
  <xr:revisionPtr revIDLastSave="0" documentId="8_{55AD3A4A-BAF4-2643-9ADF-535C5F6C37A0}" xr6:coauthVersionLast="47" xr6:coauthVersionMax="47" xr10:uidLastSave="{00000000-0000-0000-0000-000000000000}"/>
  <bookViews>
    <workbookView xWindow="4640" yWindow="1600" windowWidth="21600" windowHeight="15600" activeTab="3" xr2:uid="{613B5FF2-B6C2-5341-B41F-8826FB16BFC1}"/>
  </bookViews>
  <sheets>
    <sheet name="Ventas" sheetId="1" r:id="rId1"/>
    <sheet name="Historial Pagos" sheetId="4" r:id="rId2"/>
    <sheet name="Amortizaciones" sheetId="2" r:id="rId3"/>
    <sheet name="Mapa Pagos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3" l="1"/>
  <c r="H3" i="3" s="1"/>
  <c r="J3" i="3" s="1"/>
  <c r="H4" i="3" s="1"/>
  <c r="J4" i="3" s="1"/>
  <c r="H5" i="3" s="1"/>
  <c r="J5" i="3" s="1"/>
  <c r="H6" i="3" s="1"/>
  <c r="J6" i="3" s="1"/>
  <c r="H7" i="3" s="1"/>
  <c r="J7" i="3" s="1"/>
  <c r="H8" i="3" s="1"/>
  <c r="J8" i="3" s="1"/>
  <c r="H9" i="3" s="1"/>
  <c r="J9" i="3" s="1"/>
  <c r="H10" i="3" s="1"/>
  <c r="J10" i="3" s="1"/>
  <c r="H11" i="3" s="1"/>
  <c r="J11" i="3" s="1"/>
  <c r="H12" i="3" s="1"/>
  <c r="J12" i="3" s="1"/>
  <c r="H13" i="3" s="1"/>
  <c r="J13" i="3" s="1"/>
  <c r="H14" i="3" s="1"/>
  <c r="J14" i="3" s="1"/>
  <c r="H15" i="3" s="1"/>
  <c r="J15" i="3" s="1"/>
  <c r="H16" i="3" s="1"/>
  <c r="J16" i="3" s="1"/>
  <c r="H17" i="3" s="1"/>
  <c r="J17" i="3" s="1"/>
  <c r="H18" i="3" s="1"/>
  <c r="J18" i="3" s="1"/>
  <c r="H19" i="3" s="1"/>
  <c r="J19" i="3" s="1"/>
  <c r="H20" i="3" s="1"/>
  <c r="J20" i="3" s="1"/>
  <c r="H21" i="3" s="1"/>
  <c r="J21" i="3" s="1"/>
  <c r="H22" i="3" s="1"/>
  <c r="J22" i="3" s="1"/>
  <c r="I2" i="3"/>
  <c r="G3" i="3" s="1"/>
  <c r="I3" i="3" s="1"/>
  <c r="G4" i="3" s="1"/>
  <c r="I4" i="3" s="1"/>
  <c r="G5" i="3" s="1"/>
  <c r="I5" i="3" s="1"/>
  <c r="G6" i="3" s="1"/>
  <c r="I6" i="3" s="1"/>
  <c r="G7" i="3" s="1"/>
  <c r="I7" i="3" s="1"/>
  <c r="G8" i="3" s="1"/>
  <c r="I8" i="3" s="1"/>
  <c r="G9" i="3" s="1"/>
  <c r="I9" i="3" s="1"/>
  <c r="G10" i="3" s="1"/>
  <c r="I10" i="3" s="1"/>
  <c r="G11" i="3" s="1"/>
  <c r="I11" i="3" s="1"/>
  <c r="G12" i="3" s="1"/>
  <c r="I12" i="3" s="1"/>
  <c r="G13" i="3" s="1"/>
  <c r="I13" i="3" s="1"/>
  <c r="G14" i="3" s="1"/>
  <c r="I14" i="3" s="1"/>
  <c r="G15" i="3" s="1"/>
  <c r="I15" i="3" s="1"/>
  <c r="G16" i="3" s="1"/>
  <c r="I16" i="3" s="1"/>
  <c r="G17" i="3" s="1"/>
  <c r="I17" i="3" s="1"/>
  <c r="G18" i="3" s="1"/>
  <c r="I18" i="3" s="1"/>
  <c r="G19" i="3" s="1"/>
  <c r="I19" i="3" s="1"/>
  <c r="G20" i="3" s="1"/>
  <c r="I20" i="3" s="1"/>
  <c r="G21" i="3" s="1"/>
  <c r="I21" i="3" s="1"/>
  <c r="G22" i="3" s="1"/>
  <c r="I22" i="3" s="1"/>
  <c r="H28" i="2"/>
  <c r="J28" i="2" s="1"/>
  <c r="H29" i="2" s="1"/>
  <c r="J29" i="2" s="1"/>
  <c r="H30" i="2" s="1"/>
  <c r="J30" i="2" s="1"/>
  <c r="H31" i="2" s="1"/>
  <c r="J31" i="2" s="1"/>
  <c r="H32" i="2" s="1"/>
  <c r="J32" i="2" s="1"/>
  <c r="H33" i="2" s="1"/>
  <c r="J33" i="2" s="1"/>
  <c r="H34" i="2" s="1"/>
  <c r="J34" i="2" s="1"/>
  <c r="H35" i="2" s="1"/>
  <c r="J35" i="2" s="1"/>
  <c r="H36" i="2" s="1"/>
  <c r="J36" i="2" s="1"/>
  <c r="H37" i="2" s="1"/>
  <c r="J37" i="2" s="1"/>
  <c r="H38" i="2" s="1"/>
  <c r="J38" i="2" s="1"/>
  <c r="H39" i="2" s="1"/>
  <c r="J39" i="2" s="1"/>
  <c r="H40" i="2" s="1"/>
  <c r="J40" i="2" s="1"/>
  <c r="H41" i="2" s="1"/>
  <c r="J41" i="2" s="1"/>
  <c r="H42" i="2" s="1"/>
  <c r="J42" i="2" s="1"/>
  <c r="H43" i="2" s="1"/>
  <c r="J43" i="2" s="1"/>
  <c r="H44" i="2" s="1"/>
  <c r="J44" i="2" s="1"/>
  <c r="H45" i="2" s="1"/>
  <c r="J45" i="2" s="1"/>
  <c r="H46" i="2" s="1"/>
  <c r="J46" i="2" s="1"/>
  <c r="H47" i="2" s="1"/>
  <c r="J47" i="2" s="1"/>
  <c r="J27" i="2"/>
  <c r="I27" i="2"/>
  <c r="G28" i="2" s="1"/>
  <c r="I28" i="2" s="1"/>
  <c r="G29" i="2" s="1"/>
  <c r="I29" i="2" s="1"/>
  <c r="G30" i="2" s="1"/>
  <c r="I30" i="2" s="1"/>
  <c r="G31" i="2" s="1"/>
  <c r="I31" i="2" s="1"/>
  <c r="G32" i="2" s="1"/>
  <c r="I32" i="2" s="1"/>
  <c r="G33" i="2" s="1"/>
  <c r="I33" i="2" s="1"/>
  <c r="G34" i="2" s="1"/>
  <c r="I34" i="2" s="1"/>
  <c r="G35" i="2" s="1"/>
  <c r="I35" i="2" s="1"/>
  <c r="G36" i="2" s="1"/>
  <c r="I36" i="2" s="1"/>
  <c r="G37" i="2" s="1"/>
  <c r="I37" i="2" s="1"/>
  <c r="G38" i="2" s="1"/>
  <c r="I38" i="2" s="1"/>
  <c r="G39" i="2" s="1"/>
  <c r="I39" i="2" s="1"/>
  <c r="G40" i="2" s="1"/>
  <c r="I40" i="2" s="1"/>
  <c r="G41" i="2" s="1"/>
  <c r="I41" i="2" s="1"/>
  <c r="G42" i="2" s="1"/>
  <c r="I42" i="2" s="1"/>
  <c r="G43" i="2" s="1"/>
  <c r="I43" i="2" s="1"/>
  <c r="G44" i="2" s="1"/>
  <c r="I44" i="2" s="1"/>
  <c r="G45" i="2" s="1"/>
  <c r="I45" i="2" s="1"/>
  <c r="G46" i="2" s="1"/>
  <c r="I46" i="2" s="1"/>
  <c r="G47" i="2" s="1"/>
  <c r="I47" i="2" s="1"/>
  <c r="I23" i="2"/>
  <c r="G24" i="2" s="1"/>
  <c r="I24" i="2" s="1"/>
  <c r="G25" i="2" s="1"/>
  <c r="I25" i="2" s="1"/>
  <c r="G26" i="2" s="1"/>
  <c r="I26" i="2" s="1"/>
  <c r="J23" i="2"/>
  <c r="H24" i="2" s="1"/>
  <c r="J24" i="2" s="1"/>
  <c r="H25" i="2" s="1"/>
  <c r="J25" i="2" s="1"/>
  <c r="H26" i="2" s="1"/>
  <c r="J26" i="2" s="1"/>
  <c r="G3" i="2"/>
  <c r="I3" i="2" s="1"/>
  <c r="G4" i="2" s="1"/>
  <c r="I4" i="2" s="1"/>
  <c r="G5" i="2" s="1"/>
  <c r="I5" i="2" s="1"/>
  <c r="G6" i="2" s="1"/>
  <c r="I6" i="2" s="1"/>
  <c r="G7" i="2" s="1"/>
  <c r="I7" i="2" s="1"/>
  <c r="G8" i="2" s="1"/>
  <c r="I8" i="2" s="1"/>
  <c r="G9" i="2" s="1"/>
  <c r="I9" i="2" s="1"/>
  <c r="G10" i="2" s="1"/>
  <c r="I10" i="2" s="1"/>
  <c r="G11" i="2" s="1"/>
  <c r="I11" i="2" s="1"/>
  <c r="G12" i="2" s="1"/>
  <c r="I12" i="2" s="1"/>
  <c r="G13" i="2" s="1"/>
  <c r="I13" i="2" s="1"/>
  <c r="G14" i="2" s="1"/>
  <c r="I14" i="2" s="1"/>
  <c r="G15" i="2" s="1"/>
  <c r="I15" i="2" s="1"/>
  <c r="G16" i="2" s="1"/>
  <c r="I16" i="2" s="1"/>
  <c r="G17" i="2" s="1"/>
  <c r="I17" i="2" s="1"/>
  <c r="G18" i="2" s="1"/>
  <c r="I18" i="2" s="1"/>
  <c r="G19" i="2" s="1"/>
  <c r="I19" i="2" s="1"/>
  <c r="G20" i="2" s="1"/>
  <c r="I20" i="2" s="1"/>
  <c r="G21" i="2" s="1"/>
  <c r="I21" i="2" s="1"/>
  <c r="G22" i="2" s="1"/>
  <c r="I22" i="2" s="1"/>
  <c r="J2" i="2"/>
  <c r="H3" i="2" s="1"/>
  <c r="J3" i="2" s="1"/>
  <c r="H4" i="2" s="1"/>
  <c r="J4" i="2" s="1"/>
  <c r="H5" i="2" s="1"/>
  <c r="J5" i="2" s="1"/>
  <c r="H6" i="2" s="1"/>
  <c r="J6" i="2" s="1"/>
  <c r="H7" i="2" s="1"/>
  <c r="J7" i="2" s="1"/>
  <c r="H8" i="2" s="1"/>
  <c r="J8" i="2" s="1"/>
  <c r="H9" i="2" s="1"/>
  <c r="J9" i="2" s="1"/>
  <c r="H10" i="2" s="1"/>
  <c r="J10" i="2" s="1"/>
  <c r="H11" i="2" s="1"/>
  <c r="J11" i="2" s="1"/>
  <c r="H12" i="2" s="1"/>
  <c r="J12" i="2" s="1"/>
  <c r="H13" i="2" s="1"/>
  <c r="J13" i="2" s="1"/>
  <c r="H14" i="2" s="1"/>
  <c r="J14" i="2" s="1"/>
  <c r="H15" i="2" s="1"/>
  <c r="J15" i="2" s="1"/>
  <c r="H16" i="2" s="1"/>
  <c r="J16" i="2" s="1"/>
  <c r="H17" i="2" s="1"/>
  <c r="J17" i="2" s="1"/>
  <c r="H18" i="2" s="1"/>
  <c r="J18" i="2" s="1"/>
  <c r="H19" i="2" s="1"/>
  <c r="J19" i="2" s="1"/>
  <c r="H20" i="2" s="1"/>
  <c r="J20" i="2" s="1"/>
  <c r="H21" i="2" s="1"/>
  <c r="J21" i="2" s="1"/>
  <c r="H22" i="2" s="1"/>
  <c r="J22" i="2" s="1"/>
  <c r="I2" i="2"/>
  <c r="H3" i="1"/>
  <c r="L3" i="1" s="1"/>
  <c r="M3" i="1" s="1"/>
  <c r="H4" i="1"/>
  <c r="L4" i="1" s="1"/>
  <c r="M4" i="1" s="1"/>
  <c r="H5" i="1"/>
  <c r="L5" i="1" s="1"/>
  <c r="M5" i="1" s="1"/>
  <c r="H6" i="1"/>
  <c r="L6" i="1" s="1"/>
  <c r="M6" i="1" s="1"/>
  <c r="H7" i="1"/>
  <c r="L7" i="1" s="1"/>
  <c r="M7" i="1" s="1"/>
  <c r="H2" i="1"/>
  <c r="L2" i="1" s="1"/>
  <c r="M2" i="1" s="1"/>
  <c r="O2" i="1" s="1"/>
  <c r="N7" i="1" l="1"/>
  <c r="O7" i="1"/>
  <c r="N6" i="1"/>
  <c r="O6" i="1"/>
  <c r="N5" i="1"/>
  <c r="O5" i="1"/>
  <c r="N4" i="1"/>
  <c r="O4" i="1"/>
  <c r="N3" i="1"/>
  <c r="O3" i="1"/>
  <c r="N2" i="1"/>
</calcChain>
</file>

<file path=xl/sharedStrings.xml><?xml version="1.0" encoding="utf-8"?>
<sst xmlns="http://schemas.openxmlformats.org/spreadsheetml/2006/main" count="142" uniqueCount="65">
  <si>
    <t>Folio</t>
  </si>
  <si>
    <t>Creada</t>
  </si>
  <si>
    <t>Cliente</t>
  </si>
  <si>
    <t>Producto</t>
  </si>
  <si>
    <t>Precio</t>
  </si>
  <si>
    <t>Interes</t>
  </si>
  <si>
    <t>Plazos</t>
  </si>
  <si>
    <t>Subtotal</t>
  </si>
  <si>
    <t>Total</t>
  </si>
  <si>
    <t>Anticipo</t>
  </si>
  <si>
    <t>Financiado</t>
  </si>
  <si>
    <t>Tipo Cliente</t>
  </si>
  <si>
    <t>NUEVO</t>
  </si>
  <si>
    <t>RECURRENTE</t>
  </si>
  <si>
    <t>Precio Producto</t>
  </si>
  <si>
    <t>Descuento</t>
  </si>
  <si>
    <t>Numero</t>
  </si>
  <si>
    <t>Concepto</t>
  </si>
  <si>
    <t>Semanal</t>
  </si>
  <si>
    <t>Monto Esperado</t>
  </si>
  <si>
    <t>Fecha Esperada</t>
  </si>
  <si>
    <t>Saldo Actual</t>
  </si>
  <si>
    <t>Saldo Actual Esperado</t>
  </si>
  <si>
    <t>Saldo Actualizado Esperado</t>
  </si>
  <si>
    <t>Pago 1 de 20</t>
  </si>
  <si>
    <t>Total Pagado Actualizado Esperado</t>
  </si>
  <si>
    <t>Total Pagado Actual Esperado</t>
  </si>
  <si>
    <t>Pago 1 de 21</t>
  </si>
  <si>
    <t>Pago 1 de 22</t>
  </si>
  <si>
    <t>Pago 1 de 23</t>
  </si>
  <si>
    <t>Pago 1 de 24</t>
  </si>
  <si>
    <t>Pago 1 de 25</t>
  </si>
  <si>
    <t>Pago 1 de 26</t>
  </si>
  <si>
    <t>Pago 1 de 27</t>
  </si>
  <si>
    <t>Pago 1 de 28</t>
  </si>
  <si>
    <t>Pago 1 de 29</t>
  </si>
  <si>
    <t>Pago 1 de 30</t>
  </si>
  <si>
    <t>Pago 1 de 31</t>
  </si>
  <si>
    <t>Pago 1 de 32</t>
  </si>
  <si>
    <t>Pago 1 de 33</t>
  </si>
  <si>
    <t>Pago 1 de 34</t>
  </si>
  <si>
    <t>Pago 1 de 35</t>
  </si>
  <si>
    <t>Pago 1 de 36</t>
  </si>
  <si>
    <t>Pago 1 de 37</t>
  </si>
  <si>
    <t>Pago 1 de 38</t>
  </si>
  <si>
    <t>Pago 1 de 39</t>
  </si>
  <si>
    <t>Pago 2 de 20</t>
  </si>
  <si>
    <t>Pago 2 de 21</t>
  </si>
  <si>
    <t>Pago 2 de 22</t>
  </si>
  <si>
    <t>Pago 2 de 23</t>
  </si>
  <si>
    <t>Pago 2 de 24</t>
  </si>
  <si>
    <t>Pago 2 de 25</t>
  </si>
  <si>
    <t>Pago 2 de 26</t>
  </si>
  <si>
    <t>Pago 3 de 20</t>
  </si>
  <si>
    <t>Pago 3 de 21</t>
  </si>
  <si>
    <t>Pago 3 de 22</t>
  </si>
  <si>
    <t>Pago 3 de 23</t>
  </si>
  <si>
    <t>Pago 3 de 24</t>
  </si>
  <si>
    <t>Pago 3 de 25</t>
  </si>
  <si>
    <t>Monto Pagado</t>
  </si>
  <si>
    <t>Fecha Pago</t>
  </si>
  <si>
    <t>Total Pagado Actual</t>
  </si>
  <si>
    <t>Saldo Actualizado</t>
  </si>
  <si>
    <t>Total Pagado Actualizado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</si>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</sst>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  <xf numFmtId="1" fontId="0" fillId="0" borderId="0" xfId="1" applyNumberFormat="1" applyFont="1"/>
    <xf numFmtId="0" fontId="2" fillId="0" borderId="0" xfId="0" applyFon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B56A-29F3-7A4F-AF37-F351D01CB02D}">
  <dimension ref="A1:O12"/>
  <sheetViews>
    <sheetView zoomScale="120" zoomScaleNormal="120" workbookViewId="0">
      <selection activeCell="A3" sqref="A3:O7"/>
    </sheetView>
  </sheetViews>
  <sheetFormatPr baseColWidth="10" defaultRowHeight="16" x14ac:dyDescent="0.2"/>
  <cols>
    <col min="4" max="4" width="14.33203125" customWidth="1"/>
    <col min="6" max="6" width="14.6640625" customWidth="1"/>
    <col min="8" max="12" width="11" bestFit="1" customWidth="1"/>
    <col min="13" max="14" width="11.5" bestFit="1" customWidth="1"/>
    <col min="15" max="15" width="11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14</v>
      </c>
      <c r="G1" t="s">
        <v>15</v>
      </c>
      <c r="H1" t="s">
        <v>4</v>
      </c>
      <c r="I1" t="s">
        <v>6</v>
      </c>
      <c r="J1" t="s">
        <v>9</v>
      </c>
      <c r="K1" t="s">
        <v>5</v>
      </c>
      <c r="L1" t="s">
        <v>10</v>
      </c>
      <c r="M1" t="s">
        <v>7</v>
      </c>
      <c r="N1" t="s">
        <v>8</v>
      </c>
      <c r="O1" t="s">
        <v>18</v>
      </c>
    </row>
    <row r="2" spans="1:15" x14ac:dyDescent="0.2">
      <c r="A2">
        <v>123</v>
      </c>
      <c r="B2" s="1">
        <v>46135</v>
      </c>
      <c r="C2">
        <v>401</v>
      </c>
      <c r="D2" t="s">
        <v>12</v>
      </c>
      <c r="E2">
        <v>18</v>
      </c>
      <c r="F2" s="2">
        <v>9700</v>
      </c>
      <c r="G2" s="2">
        <v>0</v>
      </c>
      <c r="H2" s="2">
        <f t="shared" ref="H2:H7" si="0">F2-G2</f>
        <v>9700</v>
      </c>
      <c r="I2" s="4">
        <v>20</v>
      </c>
      <c r="J2" s="2">
        <v>1300</v>
      </c>
      <c r="K2" s="3">
        <v>1.7</v>
      </c>
      <c r="L2" s="2">
        <f t="shared" ref="L2:L7" si="1">H2-J2</f>
        <v>8400</v>
      </c>
      <c r="M2" s="2">
        <f t="shared" ref="M2:M7" si="2">L2*K2</f>
        <v>14280</v>
      </c>
      <c r="N2" s="2">
        <f t="shared" ref="N2:N7" si="3">J2+M2</f>
        <v>15580</v>
      </c>
      <c r="O2" s="2">
        <f t="shared" ref="O2:O7" si="4">M2/I2</f>
        <v>714</v>
      </c>
    </row>
    <row r="3" spans="1:15" x14ac:dyDescent="0.2">
      <c r="A3">
        <v>124</v>
      </c>
      <c r="B3" s="1">
        <v>46135</v>
      </c>
      <c r="C3">
        <v>501</v>
      </c>
      <c r="D3" t="s">
        <v>12</v>
      </c>
      <c r="E3">
        <v>11</v>
      </c>
      <c r="F3" s="2">
        <v>400</v>
      </c>
      <c r="G3" s="2"/>
      <c r="H3" s="2">
        <f t="shared" si="0"/>
        <v>400</v>
      </c>
      <c r="I3" s="4">
        <v>3</v>
      </c>
      <c r="J3" s="2">
        <v>200</v>
      </c>
      <c r="K3" s="3">
        <v>1.5</v>
      </c>
      <c r="L3" s="2">
        <f t="shared" si="1"/>
        <v>200</v>
      </c>
      <c r="M3" s="2">
        <f t="shared" si="2"/>
        <v>300</v>
      </c>
      <c r="N3" s="2">
        <f t="shared" si="3"/>
        <v>500</v>
      </c>
      <c r="O3" s="2">
        <f t="shared" si="4"/>
        <v>100</v>
      </c>
    </row>
    <row r="4" spans="1:15" x14ac:dyDescent="0.2">
      <c r="A4">
        <v>125</v>
      </c>
      <c r="B4" s="1">
        <v>46137</v>
      </c>
      <c r="C4">
        <v>404</v>
      </c>
      <c r="D4" t="s">
        <v>13</v>
      </c>
      <c r="E4">
        <v>18</v>
      </c>
      <c r="F4" s="2">
        <v>9700</v>
      </c>
      <c r="G4" s="2">
        <v>400</v>
      </c>
      <c r="H4" s="2">
        <f t="shared" si="0"/>
        <v>9300</v>
      </c>
      <c r="I4" s="4">
        <v>20</v>
      </c>
      <c r="J4" s="2">
        <v>0</v>
      </c>
      <c r="K4" s="3">
        <v>1.3</v>
      </c>
      <c r="L4" s="2">
        <f t="shared" si="1"/>
        <v>9300</v>
      </c>
      <c r="M4" s="2">
        <f t="shared" si="2"/>
        <v>12090</v>
      </c>
      <c r="N4" s="2">
        <f t="shared" si="3"/>
        <v>12090</v>
      </c>
      <c r="O4" s="2">
        <f t="shared" si="4"/>
        <v>604.5</v>
      </c>
    </row>
    <row r="5" spans="1:15" x14ac:dyDescent="0.2">
      <c r="A5">
        <v>126</v>
      </c>
      <c r="B5" s="1">
        <v>46137</v>
      </c>
      <c r="C5">
        <v>389</v>
      </c>
      <c r="D5" t="s">
        <v>12</v>
      </c>
      <c r="E5">
        <v>17</v>
      </c>
      <c r="F5" s="2">
        <v>1200</v>
      </c>
      <c r="G5" s="2"/>
      <c r="H5" s="2">
        <f t="shared" si="0"/>
        <v>1200</v>
      </c>
      <c r="I5" s="4">
        <v>5</v>
      </c>
      <c r="J5" s="2">
        <v>100</v>
      </c>
      <c r="K5" s="3">
        <v>1.5</v>
      </c>
      <c r="L5" s="2">
        <f t="shared" si="1"/>
        <v>1100</v>
      </c>
      <c r="M5" s="2">
        <f t="shared" si="2"/>
        <v>1650</v>
      </c>
      <c r="N5" s="2">
        <f t="shared" si="3"/>
        <v>1750</v>
      </c>
      <c r="O5" s="2">
        <f t="shared" si="4"/>
        <v>330</v>
      </c>
    </row>
    <row r="6" spans="1:15" x14ac:dyDescent="0.2">
      <c r="A6">
        <v>127</v>
      </c>
      <c r="B6" s="1">
        <v>46137</v>
      </c>
      <c r="C6">
        <v>401</v>
      </c>
      <c r="D6" t="s">
        <v>12</v>
      </c>
      <c r="E6">
        <v>11</v>
      </c>
      <c r="F6" s="2">
        <v>400</v>
      </c>
      <c r="G6" s="2"/>
      <c r="H6" s="2">
        <f t="shared" si="0"/>
        <v>400</v>
      </c>
      <c r="I6" s="4">
        <v>2</v>
      </c>
      <c r="J6" s="2">
        <v>200</v>
      </c>
      <c r="K6" s="3">
        <v>1.5</v>
      </c>
      <c r="L6" s="2">
        <f t="shared" si="1"/>
        <v>200</v>
      </c>
      <c r="M6" s="2">
        <f t="shared" si="2"/>
        <v>300</v>
      </c>
      <c r="N6" s="2">
        <f t="shared" si="3"/>
        <v>500</v>
      </c>
      <c r="O6" s="2">
        <f t="shared" si="4"/>
        <v>150</v>
      </c>
    </row>
    <row r="7" spans="1:15" x14ac:dyDescent="0.2">
      <c r="A7">
        <v>128</v>
      </c>
      <c r="B7" s="1">
        <v>46140</v>
      </c>
      <c r="C7">
        <v>897</v>
      </c>
      <c r="D7" t="s">
        <v>13</v>
      </c>
      <c r="E7">
        <v>25</v>
      </c>
      <c r="F7" s="2">
        <v>25000</v>
      </c>
      <c r="G7" s="2"/>
      <c r="H7" s="2">
        <f t="shared" si="0"/>
        <v>25000</v>
      </c>
      <c r="I7" s="4">
        <v>43</v>
      </c>
      <c r="J7" s="2">
        <v>5000</v>
      </c>
      <c r="K7" s="3">
        <v>1.6</v>
      </c>
      <c r="L7" s="2">
        <f t="shared" si="1"/>
        <v>20000</v>
      </c>
      <c r="M7" s="2">
        <f t="shared" si="2"/>
        <v>32000</v>
      </c>
      <c r="N7" s="2">
        <f t="shared" si="3"/>
        <v>37000</v>
      </c>
      <c r="O7" s="2">
        <f t="shared" si="4"/>
        <v>744.18604651162786</v>
      </c>
    </row>
    <row r="12" spans="1:15" x14ac:dyDescent="0.2">
      <c r="C1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0BE3-9686-BB46-AB6E-A1D7FE23F2E1}">
  <dimension ref="A1:D5"/>
  <sheetViews>
    <sheetView workbookViewId="0">
      <selection activeCell="A5" sqref="A5"/>
    </sheetView>
  </sheetViews>
  <sheetFormatPr baseColWidth="10" defaultRowHeight="16" x14ac:dyDescent="0.2"/>
  <cols>
    <col min="3" max="3" width="18" customWidth="1"/>
    <col min="4" max="4" width="13.6640625" customWidth="1"/>
  </cols>
  <sheetData>
    <row r="1" spans="1:4" x14ac:dyDescent="0.2">
      <c r="A1" t="s">
        <v>0</v>
      </c>
      <c r="B1" t="s">
        <v>17</v>
      </c>
      <c r="C1" t="s">
        <v>59</v>
      </c>
      <c r="D1" t="s">
        <v>60</v>
      </c>
    </row>
    <row r="2" spans="1:4" x14ac:dyDescent="0.2">
      <c r="A2">
        <v>123</v>
      </c>
      <c r="B2" t="s">
        <v>9</v>
      </c>
      <c r="C2">
        <v>1300</v>
      </c>
      <c r="D2" s="1">
        <v>46135</v>
      </c>
    </row>
    <row r="3" spans="1:4" x14ac:dyDescent="0.2">
      <c r="A3">
        <v>124</v>
      </c>
      <c r="B3" t="s">
        <v>9</v>
      </c>
      <c r="C3">
        <v>200</v>
      </c>
      <c r="D3" s="1">
        <v>46135</v>
      </c>
    </row>
    <row r="4" spans="1:4" x14ac:dyDescent="0.2">
      <c r="A4">
        <v>123</v>
      </c>
      <c r="B4" t="s">
        <v>24</v>
      </c>
      <c r="C4">
        <v>800</v>
      </c>
      <c r="D4" s="1">
        <v>46136</v>
      </c>
    </row>
    <row r="5" spans="1:4" x14ac:dyDescent="0.2">
      <c r="A5">
        <v>125</v>
      </c>
      <c r="B5" t="s">
        <v>9</v>
      </c>
      <c r="C5">
        <v>0</v>
      </c>
      <c r="D5" s="1">
        <v>46137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FFB7-EE80-F944-B0CF-65D7DEEC68EA}">
  <dimension ref="A1:J48"/>
  <sheetViews>
    <sheetView zoomScale="120" zoomScaleNormal="120" workbookViewId="0">
      <selection activeCell="E20" sqref="E20"/>
    </sheetView>
  </sheetViews>
  <sheetFormatPr baseColWidth="10" defaultRowHeight="16" x14ac:dyDescent="0.2"/>
  <cols>
    <col min="4" max="4" width="20.5" customWidth="1"/>
    <col min="5" max="5" width="16" style="2" customWidth="1"/>
    <col min="6" max="6" width="16.33203125" customWidth="1"/>
    <col min="7" max="7" width="20" style="2" customWidth="1"/>
    <col min="8" max="8" width="25" bestFit="1" customWidth="1"/>
    <col min="9" max="9" width="22.33203125" customWidth="1"/>
    <col min="10" max="10" width="29.5" bestFit="1" customWidth="1"/>
  </cols>
  <sheetData>
    <row r="1" spans="1:10" x14ac:dyDescent="0.2">
      <c r="A1" t="s">
        <v>0</v>
      </c>
      <c r="B1" t="s">
        <v>6</v>
      </c>
      <c r="C1" t="s">
        <v>16</v>
      </c>
      <c r="D1" t="s">
        <v>17</v>
      </c>
      <c r="E1" s="2" t="s">
        <v>19</v>
      </c>
      <c r="F1" t="s">
        <v>20</v>
      </c>
      <c r="G1" s="2" t="s">
        <v>22</v>
      </c>
      <c r="H1" t="s">
        <v>26</v>
      </c>
      <c r="I1" t="s">
        <v>23</v>
      </c>
      <c r="J1" t="s">
        <v>25</v>
      </c>
    </row>
    <row r="2" spans="1:10" x14ac:dyDescent="0.2">
      <c r="A2" s="5">
        <v>123</v>
      </c>
      <c r="B2">
        <v>20</v>
      </c>
      <c r="C2">
        <v>0</v>
      </c>
      <c r="D2" t="s">
        <v>9</v>
      </c>
      <c r="E2" s="2">
        <v>1300</v>
      </c>
      <c r="F2" s="1">
        <v>46135</v>
      </c>
      <c r="G2" s="2">
        <v>15580</v>
      </c>
      <c r="H2" s="2">
        <v>0</v>
      </c>
      <c r="I2" s="2">
        <f>G2-E2</f>
        <v>14280</v>
      </c>
      <c r="J2" s="6">
        <f>E2+H2</f>
        <v>1300</v>
      </c>
    </row>
    <row r="3" spans="1:10" x14ac:dyDescent="0.2">
      <c r="A3" s="5">
        <v>123</v>
      </c>
      <c r="B3">
        <v>20</v>
      </c>
      <c r="C3">
        <v>1</v>
      </c>
      <c r="D3" t="s">
        <v>24</v>
      </c>
      <c r="E3" s="2">
        <v>714</v>
      </c>
      <c r="F3" s="1">
        <v>46142</v>
      </c>
      <c r="G3" s="2">
        <f>I2</f>
        <v>14280</v>
      </c>
      <c r="H3" s="6">
        <f>J2</f>
        <v>1300</v>
      </c>
      <c r="I3" s="2">
        <f>G3-E3</f>
        <v>13566</v>
      </c>
      <c r="J3" s="6">
        <f>E3+H3</f>
        <v>2014</v>
      </c>
    </row>
    <row r="4" spans="1:10" x14ac:dyDescent="0.2">
      <c r="A4" s="5">
        <v>123</v>
      </c>
      <c r="B4">
        <v>20</v>
      </c>
      <c r="C4">
        <v>2</v>
      </c>
      <c r="D4" t="s">
        <v>46</v>
      </c>
      <c r="E4" s="2">
        <v>714</v>
      </c>
      <c r="F4" s="1">
        <v>46149</v>
      </c>
      <c r="G4" s="2">
        <f t="shared" ref="G4:G22" si="0">I3</f>
        <v>13566</v>
      </c>
      <c r="H4" s="6">
        <f t="shared" ref="H4:H22" si="1">J3</f>
        <v>2014</v>
      </c>
      <c r="I4" s="2">
        <f t="shared" ref="I4:I22" si="2">G4-E4</f>
        <v>12852</v>
      </c>
      <c r="J4" s="6">
        <f t="shared" ref="J4:J22" si="3">E4+H4</f>
        <v>2728</v>
      </c>
    </row>
    <row r="5" spans="1:10" x14ac:dyDescent="0.2">
      <c r="A5" s="5">
        <v>123</v>
      </c>
      <c r="B5">
        <v>20</v>
      </c>
      <c r="C5">
        <v>3</v>
      </c>
      <c r="D5" t="s">
        <v>53</v>
      </c>
      <c r="E5" s="2">
        <v>714</v>
      </c>
      <c r="F5" s="1">
        <v>46156</v>
      </c>
      <c r="G5" s="2">
        <f t="shared" si="0"/>
        <v>12852</v>
      </c>
      <c r="H5" s="6">
        <f t="shared" si="1"/>
        <v>2728</v>
      </c>
      <c r="I5" s="2">
        <f t="shared" si="2"/>
        <v>12138</v>
      </c>
      <c r="J5" s="6">
        <f t="shared" si="3"/>
        <v>3442</v>
      </c>
    </row>
    <row r="6" spans="1:10" x14ac:dyDescent="0.2">
      <c r="A6" s="5">
        <v>123</v>
      </c>
      <c r="B6">
        <v>20</v>
      </c>
      <c r="C6">
        <v>4</v>
      </c>
      <c r="D6" t="s">
        <v>27</v>
      </c>
      <c r="E6" s="2">
        <v>714</v>
      </c>
      <c r="F6" s="1">
        <v>46163</v>
      </c>
      <c r="G6" s="2">
        <f t="shared" si="0"/>
        <v>12138</v>
      </c>
      <c r="H6" s="6">
        <f t="shared" si="1"/>
        <v>3442</v>
      </c>
      <c r="I6" s="2">
        <f t="shared" si="2"/>
        <v>11424</v>
      </c>
      <c r="J6" s="6">
        <f t="shared" si="3"/>
        <v>4156</v>
      </c>
    </row>
    <row r="7" spans="1:10" x14ac:dyDescent="0.2">
      <c r="A7" s="5">
        <v>123</v>
      </c>
      <c r="B7">
        <v>20</v>
      </c>
      <c r="C7">
        <v>5</v>
      </c>
      <c r="D7" t="s">
        <v>47</v>
      </c>
      <c r="E7" s="2">
        <v>714</v>
      </c>
      <c r="F7" s="1">
        <v>46170</v>
      </c>
      <c r="G7" s="2">
        <f t="shared" si="0"/>
        <v>11424</v>
      </c>
      <c r="H7" s="6">
        <f t="shared" si="1"/>
        <v>4156</v>
      </c>
      <c r="I7" s="2">
        <f t="shared" si="2"/>
        <v>10710</v>
      </c>
      <c r="J7" s="6">
        <f t="shared" si="3"/>
        <v>4870</v>
      </c>
    </row>
    <row r="8" spans="1:10" x14ac:dyDescent="0.2">
      <c r="A8" s="5">
        <v>123</v>
      </c>
      <c r="B8">
        <v>20</v>
      </c>
      <c r="C8">
        <v>6</v>
      </c>
      <c r="D8" t="s">
        <v>54</v>
      </c>
      <c r="E8" s="2">
        <v>714</v>
      </c>
      <c r="F8" s="1">
        <v>46177</v>
      </c>
      <c r="G8" s="2">
        <f t="shared" si="0"/>
        <v>10710</v>
      </c>
      <c r="H8" s="6">
        <f t="shared" si="1"/>
        <v>4870</v>
      </c>
      <c r="I8" s="2">
        <f t="shared" si="2"/>
        <v>9996</v>
      </c>
      <c r="J8" s="6">
        <f t="shared" si="3"/>
        <v>5584</v>
      </c>
    </row>
    <row r="9" spans="1:10" x14ac:dyDescent="0.2">
      <c r="A9" s="5">
        <v>123</v>
      </c>
      <c r="B9">
        <v>20</v>
      </c>
      <c r="C9">
        <v>7</v>
      </c>
      <c r="D9" t="s">
        <v>28</v>
      </c>
      <c r="E9" s="2">
        <v>714</v>
      </c>
      <c r="F9" s="1">
        <v>46184</v>
      </c>
      <c r="G9" s="2">
        <f t="shared" si="0"/>
        <v>9996</v>
      </c>
      <c r="H9" s="6">
        <f t="shared" si="1"/>
        <v>5584</v>
      </c>
      <c r="I9" s="2">
        <f t="shared" si="2"/>
        <v>9282</v>
      </c>
      <c r="J9" s="6">
        <f t="shared" si="3"/>
        <v>6298</v>
      </c>
    </row>
    <row r="10" spans="1:10" x14ac:dyDescent="0.2">
      <c r="A10" s="5">
        <v>123</v>
      </c>
      <c r="B10">
        <v>20</v>
      </c>
      <c r="C10">
        <v>8</v>
      </c>
      <c r="D10" t="s">
        <v>48</v>
      </c>
      <c r="E10" s="2">
        <v>714</v>
      </c>
      <c r="F10" s="1">
        <v>46191</v>
      </c>
      <c r="G10" s="2">
        <f t="shared" si="0"/>
        <v>9282</v>
      </c>
      <c r="H10" s="6">
        <f t="shared" si="1"/>
        <v>6298</v>
      </c>
      <c r="I10" s="2">
        <f t="shared" si="2"/>
        <v>8568</v>
      </c>
      <c r="J10" s="6">
        <f t="shared" si="3"/>
        <v>7012</v>
      </c>
    </row>
    <row r="11" spans="1:10" x14ac:dyDescent="0.2">
      <c r="A11" s="5">
        <v>123</v>
      </c>
      <c r="B11">
        <v>20</v>
      </c>
      <c r="C11">
        <v>9</v>
      </c>
      <c r="D11" t="s">
        <v>55</v>
      </c>
      <c r="E11" s="2">
        <v>714</v>
      </c>
      <c r="F11" s="1">
        <v>46198</v>
      </c>
      <c r="G11" s="2">
        <f t="shared" si="0"/>
        <v>8568</v>
      </c>
      <c r="H11" s="6">
        <f t="shared" si="1"/>
        <v>7012</v>
      </c>
      <c r="I11" s="2">
        <f t="shared" si="2"/>
        <v>7854</v>
      </c>
      <c r="J11" s="6">
        <f t="shared" si="3"/>
        <v>7726</v>
      </c>
    </row>
    <row r="12" spans="1:10" x14ac:dyDescent="0.2">
      <c r="A12" s="5">
        <v>123</v>
      </c>
      <c r="B12">
        <v>20</v>
      </c>
      <c r="C12">
        <v>10</v>
      </c>
      <c r="D12" t="s">
        <v>29</v>
      </c>
      <c r="E12" s="2">
        <v>714</v>
      </c>
      <c r="F12" s="1">
        <v>46205</v>
      </c>
      <c r="G12" s="2">
        <f t="shared" si="0"/>
        <v>7854</v>
      </c>
      <c r="H12" s="6">
        <f t="shared" si="1"/>
        <v>7726</v>
      </c>
      <c r="I12" s="2">
        <f t="shared" si="2"/>
        <v>7140</v>
      </c>
      <c r="J12" s="6">
        <f t="shared" si="3"/>
        <v>8440</v>
      </c>
    </row>
    <row r="13" spans="1:10" x14ac:dyDescent="0.2">
      <c r="A13" s="5">
        <v>123</v>
      </c>
      <c r="B13">
        <v>20</v>
      </c>
      <c r="C13">
        <v>11</v>
      </c>
      <c r="D13" t="s">
        <v>49</v>
      </c>
      <c r="E13" s="2">
        <v>714</v>
      </c>
      <c r="F13" s="1">
        <v>46212</v>
      </c>
      <c r="G13" s="2">
        <f t="shared" si="0"/>
        <v>7140</v>
      </c>
      <c r="H13" s="6">
        <f t="shared" si="1"/>
        <v>8440</v>
      </c>
      <c r="I13" s="2">
        <f t="shared" si="2"/>
        <v>6426</v>
      </c>
      <c r="J13" s="6">
        <f t="shared" si="3"/>
        <v>9154</v>
      </c>
    </row>
    <row r="14" spans="1:10" x14ac:dyDescent="0.2">
      <c r="A14" s="5">
        <v>123</v>
      </c>
      <c r="B14">
        <v>20</v>
      </c>
      <c r="C14">
        <v>12</v>
      </c>
      <c r="D14" t="s">
        <v>56</v>
      </c>
      <c r="E14" s="2">
        <v>714</v>
      </c>
      <c r="F14" s="1">
        <v>46219</v>
      </c>
      <c r="G14" s="2">
        <f t="shared" si="0"/>
        <v>6426</v>
      </c>
      <c r="H14" s="6">
        <f t="shared" si="1"/>
        <v>9154</v>
      </c>
      <c r="I14" s="2">
        <f t="shared" si="2"/>
        <v>5712</v>
      </c>
      <c r="J14" s="6">
        <f t="shared" si="3"/>
        <v>9868</v>
      </c>
    </row>
    <row r="15" spans="1:10" x14ac:dyDescent="0.2">
      <c r="A15" s="5">
        <v>123</v>
      </c>
      <c r="B15">
        <v>20</v>
      </c>
      <c r="C15">
        <v>13</v>
      </c>
      <c r="D15" t="s">
        <v>30</v>
      </c>
      <c r="E15" s="2">
        <v>714</v>
      </c>
      <c r="F15" s="1">
        <v>46226</v>
      </c>
      <c r="G15" s="2">
        <f t="shared" si="0"/>
        <v>5712</v>
      </c>
      <c r="H15" s="6">
        <f t="shared" si="1"/>
        <v>9868</v>
      </c>
      <c r="I15" s="2">
        <f t="shared" si="2"/>
        <v>4998</v>
      </c>
      <c r="J15" s="6">
        <f t="shared" si="3"/>
        <v>10582</v>
      </c>
    </row>
    <row r="16" spans="1:10" x14ac:dyDescent="0.2">
      <c r="A16" s="5">
        <v>123</v>
      </c>
      <c r="B16">
        <v>20</v>
      </c>
      <c r="C16">
        <v>14</v>
      </c>
      <c r="D16" t="s">
        <v>50</v>
      </c>
      <c r="E16" s="2">
        <v>714</v>
      </c>
      <c r="F16" s="1">
        <v>46233</v>
      </c>
      <c r="G16" s="2">
        <f t="shared" si="0"/>
        <v>4998</v>
      </c>
      <c r="H16" s="6">
        <f t="shared" si="1"/>
        <v>10582</v>
      </c>
      <c r="I16" s="2">
        <f t="shared" si="2"/>
        <v>4284</v>
      </c>
      <c r="J16" s="6">
        <f t="shared" si="3"/>
        <v>11296</v>
      </c>
    </row>
    <row r="17" spans="1:10" x14ac:dyDescent="0.2">
      <c r="A17" s="5">
        <v>123</v>
      </c>
      <c r="B17">
        <v>20</v>
      </c>
      <c r="C17">
        <v>15</v>
      </c>
      <c r="D17" t="s">
        <v>57</v>
      </c>
      <c r="E17" s="2">
        <v>714</v>
      </c>
      <c r="F17" s="1">
        <v>46240</v>
      </c>
      <c r="G17" s="2">
        <f t="shared" si="0"/>
        <v>4284</v>
      </c>
      <c r="H17" s="6">
        <f t="shared" si="1"/>
        <v>11296</v>
      </c>
      <c r="I17" s="2">
        <f t="shared" si="2"/>
        <v>3570</v>
      </c>
      <c r="J17" s="6">
        <f t="shared" si="3"/>
        <v>12010</v>
      </c>
    </row>
    <row r="18" spans="1:10" x14ac:dyDescent="0.2">
      <c r="A18" s="5">
        <v>123</v>
      </c>
      <c r="B18">
        <v>20</v>
      </c>
      <c r="C18">
        <v>16</v>
      </c>
      <c r="D18" t="s">
        <v>31</v>
      </c>
      <c r="E18" s="2">
        <v>714</v>
      </c>
      <c r="F18" s="1">
        <v>46247</v>
      </c>
      <c r="G18" s="2">
        <f t="shared" si="0"/>
        <v>3570</v>
      </c>
      <c r="H18" s="6">
        <f t="shared" si="1"/>
        <v>12010</v>
      </c>
      <c r="I18" s="2">
        <f t="shared" si="2"/>
        <v>2856</v>
      </c>
      <c r="J18" s="6">
        <f t="shared" si="3"/>
        <v>12724</v>
      </c>
    </row>
    <row r="19" spans="1:10" x14ac:dyDescent="0.2">
      <c r="A19" s="5">
        <v>123</v>
      </c>
      <c r="B19">
        <v>20</v>
      </c>
      <c r="C19">
        <v>17</v>
      </c>
      <c r="D19" t="s">
        <v>51</v>
      </c>
      <c r="E19" s="2">
        <v>714</v>
      </c>
      <c r="F19" s="1">
        <v>46254</v>
      </c>
      <c r="G19" s="2">
        <f t="shared" si="0"/>
        <v>2856</v>
      </c>
      <c r="H19" s="6">
        <f t="shared" si="1"/>
        <v>12724</v>
      </c>
      <c r="I19" s="2">
        <f t="shared" si="2"/>
        <v>2142</v>
      </c>
      <c r="J19" s="6">
        <f t="shared" si="3"/>
        <v>13438</v>
      </c>
    </row>
    <row r="20" spans="1:10" x14ac:dyDescent="0.2">
      <c r="A20" s="5">
        <v>123</v>
      </c>
      <c r="B20">
        <v>20</v>
      </c>
      <c r="C20">
        <v>18</v>
      </c>
      <c r="D20" t="s">
        <v>58</v>
      </c>
      <c r="E20" s="2">
        <v>714</v>
      </c>
      <c r="F20" s="1">
        <v>46261</v>
      </c>
      <c r="G20" s="2">
        <f t="shared" si="0"/>
        <v>2142</v>
      </c>
      <c r="H20" s="6">
        <f t="shared" si="1"/>
        <v>13438</v>
      </c>
      <c r="I20" s="2">
        <f t="shared" si="2"/>
        <v>1428</v>
      </c>
      <c r="J20" s="6">
        <f t="shared" si="3"/>
        <v>14152</v>
      </c>
    </row>
    <row r="21" spans="1:10" x14ac:dyDescent="0.2">
      <c r="A21" s="5">
        <v>123</v>
      </c>
      <c r="B21">
        <v>20</v>
      </c>
      <c r="C21">
        <v>19</v>
      </c>
      <c r="D21" t="s">
        <v>32</v>
      </c>
      <c r="E21" s="2">
        <v>714</v>
      </c>
      <c r="F21" s="1">
        <v>46268</v>
      </c>
      <c r="G21" s="2">
        <f t="shared" si="0"/>
        <v>1428</v>
      </c>
      <c r="H21" s="6">
        <f t="shared" si="1"/>
        <v>14152</v>
      </c>
      <c r="I21" s="2">
        <f t="shared" si="2"/>
        <v>714</v>
      </c>
      <c r="J21" s="6">
        <f t="shared" si="3"/>
        <v>14866</v>
      </c>
    </row>
    <row r="22" spans="1:10" x14ac:dyDescent="0.2">
      <c r="A22" s="5">
        <v>123</v>
      </c>
      <c r="B22">
        <v>20</v>
      </c>
      <c r="C22">
        <v>20</v>
      </c>
      <c r="D22" t="s">
        <v>52</v>
      </c>
      <c r="E22" s="2">
        <v>714</v>
      </c>
      <c r="F22" s="1">
        <v>46275</v>
      </c>
      <c r="G22" s="2">
        <f t="shared" si="0"/>
        <v>714</v>
      </c>
      <c r="H22" s="6">
        <f t="shared" si="1"/>
        <v>14866</v>
      </c>
      <c r="I22" s="2">
        <f t="shared" si="2"/>
        <v>0</v>
      </c>
      <c r="J22" s="6">
        <f t="shared" si="3"/>
        <v>15580</v>
      </c>
    </row>
    <row r="23" spans="1:10" x14ac:dyDescent="0.2">
      <c r="A23">
        <v>124</v>
      </c>
      <c r="B23">
        <v>3</v>
      </c>
      <c r="C23">
        <v>0</v>
      </c>
      <c r="D23" t="s">
        <v>9</v>
      </c>
      <c r="E23" s="2">
        <v>200</v>
      </c>
      <c r="F23" s="1">
        <v>46135</v>
      </c>
      <c r="G23" s="2">
        <v>500</v>
      </c>
      <c r="H23" s="2">
        <v>0</v>
      </c>
      <c r="I23" s="2">
        <f t="shared" ref="I23:I28" si="4">G23-E23</f>
        <v>300</v>
      </c>
      <c r="J23" s="6">
        <f t="shared" ref="J23:J28" si="5">E23+H23</f>
        <v>200</v>
      </c>
    </row>
    <row r="24" spans="1:10" x14ac:dyDescent="0.2">
      <c r="A24">
        <v>124</v>
      </c>
      <c r="B24">
        <v>3</v>
      </c>
      <c r="C24">
        <v>1</v>
      </c>
      <c r="D24" t="s">
        <v>24</v>
      </c>
      <c r="E24" s="2">
        <v>100</v>
      </c>
      <c r="F24" s="1">
        <v>46142</v>
      </c>
      <c r="G24" s="2">
        <f t="shared" ref="G24:H26" si="6">I23</f>
        <v>300</v>
      </c>
      <c r="H24" s="6">
        <f t="shared" si="6"/>
        <v>200</v>
      </c>
      <c r="I24" s="2">
        <f t="shared" si="4"/>
        <v>200</v>
      </c>
      <c r="J24" s="6">
        <f t="shared" si="5"/>
        <v>300</v>
      </c>
    </row>
    <row r="25" spans="1:10" x14ac:dyDescent="0.2">
      <c r="A25">
        <v>124</v>
      </c>
      <c r="B25">
        <v>3</v>
      </c>
      <c r="C25">
        <v>2</v>
      </c>
      <c r="D25" t="s">
        <v>27</v>
      </c>
      <c r="E25" s="2">
        <v>100</v>
      </c>
      <c r="F25" s="1">
        <v>46149</v>
      </c>
      <c r="G25" s="2">
        <f t="shared" si="6"/>
        <v>200</v>
      </c>
      <c r="H25" s="6">
        <f t="shared" si="6"/>
        <v>300</v>
      </c>
      <c r="I25" s="2">
        <f t="shared" si="4"/>
        <v>100</v>
      </c>
      <c r="J25" s="6">
        <f t="shared" si="5"/>
        <v>400</v>
      </c>
    </row>
    <row r="26" spans="1:10" x14ac:dyDescent="0.2">
      <c r="A26">
        <v>124</v>
      </c>
      <c r="B26">
        <v>3</v>
      </c>
      <c r="C26">
        <v>3</v>
      </c>
      <c r="D26" t="s">
        <v>28</v>
      </c>
      <c r="E26" s="2">
        <v>100</v>
      </c>
      <c r="F26" s="1">
        <v>46156</v>
      </c>
      <c r="G26" s="2">
        <f t="shared" si="6"/>
        <v>100</v>
      </c>
      <c r="H26" s="6">
        <f t="shared" si="6"/>
        <v>400</v>
      </c>
      <c r="I26" s="2">
        <f t="shared" si="4"/>
        <v>0</v>
      </c>
      <c r="J26" s="6">
        <f t="shared" si="5"/>
        <v>500</v>
      </c>
    </row>
    <row r="27" spans="1:10" x14ac:dyDescent="0.2">
      <c r="A27">
        <v>125</v>
      </c>
      <c r="B27">
        <v>20</v>
      </c>
      <c r="C27">
        <v>0</v>
      </c>
      <c r="D27" t="s">
        <v>9</v>
      </c>
      <c r="E27" s="2">
        <v>0</v>
      </c>
      <c r="F27" s="1">
        <v>46137</v>
      </c>
      <c r="G27" s="2">
        <v>12090</v>
      </c>
      <c r="H27" s="2">
        <v>0</v>
      </c>
      <c r="I27" s="2">
        <f t="shared" si="4"/>
        <v>12090</v>
      </c>
      <c r="J27" s="6">
        <f t="shared" si="5"/>
        <v>0</v>
      </c>
    </row>
    <row r="28" spans="1:10" x14ac:dyDescent="0.2">
      <c r="A28">
        <v>125</v>
      </c>
      <c r="B28">
        <v>20</v>
      </c>
      <c r="C28">
        <v>1</v>
      </c>
      <c r="D28" t="s">
        <v>24</v>
      </c>
      <c r="E28" s="2">
        <v>604.5</v>
      </c>
      <c r="F28" s="1">
        <v>46144</v>
      </c>
      <c r="G28" s="2">
        <f>I27</f>
        <v>12090</v>
      </c>
      <c r="H28" s="6">
        <f>J27</f>
        <v>0</v>
      </c>
      <c r="I28" s="2">
        <f t="shared" si="4"/>
        <v>11485.5</v>
      </c>
      <c r="J28" s="6">
        <f t="shared" si="5"/>
        <v>604.5</v>
      </c>
    </row>
    <row r="29" spans="1:10" x14ac:dyDescent="0.2">
      <c r="A29">
        <v>125</v>
      </c>
      <c r="B29">
        <v>20</v>
      </c>
      <c r="C29">
        <v>2</v>
      </c>
      <c r="D29" t="s">
        <v>27</v>
      </c>
      <c r="E29" s="2">
        <v>604.5</v>
      </c>
      <c r="F29" s="1">
        <v>46151</v>
      </c>
      <c r="G29" s="2">
        <f t="shared" ref="G29:G47" si="7">I28</f>
        <v>11485.5</v>
      </c>
      <c r="H29" s="6">
        <f t="shared" ref="H29:H47" si="8">J28</f>
        <v>604.5</v>
      </c>
      <c r="I29" s="2">
        <f t="shared" ref="I29:I47" si="9">G29-E29</f>
        <v>10881</v>
      </c>
      <c r="J29" s="6">
        <f t="shared" ref="J29:J47" si="10">E29+H29</f>
        <v>1209</v>
      </c>
    </row>
    <row r="30" spans="1:10" x14ac:dyDescent="0.2">
      <c r="A30">
        <v>125</v>
      </c>
      <c r="B30">
        <v>20</v>
      </c>
      <c r="C30">
        <v>3</v>
      </c>
      <c r="D30" t="s">
        <v>28</v>
      </c>
      <c r="E30" s="2">
        <v>604.5</v>
      </c>
      <c r="F30" s="1">
        <v>46158</v>
      </c>
      <c r="G30" s="2">
        <f t="shared" si="7"/>
        <v>10881</v>
      </c>
      <c r="H30" s="6">
        <f t="shared" si="8"/>
        <v>1209</v>
      </c>
      <c r="I30" s="2">
        <f t="shared" si="9"/>
        <v>10276.5</v>
      </c>
      <c r="J30" s="6">
        <f t="shared" si="10"/>
        <v>1813.5</v>
      </c>
    </row>
    <row r="31" spans="1:10" x14ac:dyDescent="0.2">
      <c r="A31">
        <v>125</v>
      </c>
      <c r="B31">
        <v>20</v>
      </c>
      <c r="C31">
        <v>4</v>
      </c>
      <c r="D31" t="s">
        <v>29</v>
      </c>
      <c r="E31" s="2">
        <v>604.5</v>
      </c>
      <c r="F31" s="1">
        <v>46165</v>
      </c>
      <c r="G31" s="2">
        <f t="shared" si="7"/>
        <v>10276.5</v>
      </c>
      <c r="H31" s="6">
        <f t="shared" si="8"/>
        <v>1813.5</v>
      </c>
      <c r="I31" s="2">
        <f t="shared" si="9"/>
        <v>9672</v>
      </c>
      <c r="J31" s="6">
        <f t="shared" si="10"/>
        <v>2418</v>
      </c>
    </row>
    <row r="32" spans="1:10" x14ac:dyDescent="0.2">
      <c r="A32">
        <v>125</v>
      </c>
      <c r="B32">
        <v>20</v>
      </c>
      <c r="C32">
        <v>5</v>
      </c>
      <c r="D32" t="s">
        <v>30</v>
      </c>
      <c r="E32" s="2">
        <v>604.5</v>
      </c>
      <c r="F32" s="1">
        <v>46172</v>
      </c>
      <c r="G32" s="2">
        <f t="shared" si="7"/>
        <v>9672</v>
      </c>
      <c r="H32" s="6">
        <f t="shared" si="8"/>
        <v>2418</v>
      </c>
      <c r="I32" s="2">
        <f t="shared" si="9"/>
        <v>9067.5</v>
      </c>
      <c r="J32" s="6">
        <f t="shared" si="10"/>
        <v>3022.5</v>
      </c>
    </row>
    <row r="33" spans="1:10" x14ac:dyDescent="0.2">
      <c r="A33">
        <v>125</v>
      </c>
      <c r="B33">
        <v>20</v>
      </c>
      <c r="C33">
        <v>6</v>
      </c>
      <c r="D33" t="s">
        <v>31</v>
      </c>
      <c r="E33" s="2">
        <v>604.5</v>
      </c>
      <c r="F33" s="1">
        <v>46179</v>
      </c>
      <c r="G33" s="2">
        <f t="shared" si="7"/>
        <v>9067.5</v>
      </c>
      <c r="H33" s="6">
        <f t="shared" si="8"/>
        <v>3022.5</v>
      </c>
      <c r="I33" s="2">
        <f t="shared" si="9"/>
        <v>8463</v>
      </c>
      <c r="J33" s="6">
        <f t="shared" si="10"/>
        <v>3627</v>
      </c>
    </row>
    <row r="34" spans="1:10" x14ac:dyDescent="0.2">
      <c r="A34">
        <v>125</v>
      </c>
      <c r="B34">
        <v>20</v>
      </c>
      <c r="C34">
        <v>7</v>
      </c>
      <c r="D34" t="s">
        <v>32</v>
      </c>
      <c r="E34" s="2">
        <v>604.5</v>
      </c>
      <c r="F34" s="1">
        <v>46186</v>
      </c>
      <c r="G34" s="2">
        <f t="shared" si="7"/>
        <v>8463</v>
      </c>
      <c r="H34" s="6">
        <f t="shared" si="8"/>
        <v>3627</v>
      </c>
      <c r="I34" s="2">
        <f t="shared" si="9"/>
        <v>7858.5</v>
      </c>
      <c r="J34" s="6">
        <f t="shared" si="10"/>
        <v>4231.5</v>
      </c>
    </row>
    <row r="35" spans="1:10" x14ac:dyDescent="0.2">
      <c r="A35">
        <v>125</v>
      </c>
      <c r="B35">
        <v>20</v>
      </c>
      <c r="C35">
        <v>8</v>
      </c>
      <c r="D35" t="s">
        <v>33</v>
      </c>
      <c r="E35" s="2">
        <v>604.5</v>
      </c>
      <c r="F35" s="1">
        <v>46193</v>
      </c>
      <c r="G35" s="2">
        <f t="shared" si="7"/>
        <v>7858.5</v>
      </c>
      <c r="H35" s="6">
        <f t="shared" si="8"/>
        <v>4231.5</v>
      </c>
      <c r="I35" s="2">
        <f t="shared" si="9"/>
        <v>7254</v>
      </c>
      <c r="J35" s="6">
        <f t="shared" si="10"/>
        <v>4836</v>
      </c>
    </row>
    <row r="36" spans="1:10" x14ac:dyDescent="0.2">
      <c r="A36">
        <v>125</v>
      </c>
      <c r="B36">
        <v>20</v>
      </c>
      <c r="C36">
        <v>9</v>
      </c>
      <c r="D36" t="s">
        <v>34</v>
      </c>
      <c r="E36" s="2">
        <v>604.5</v>
      </c>
      <c r="F36" s="1">
        <v>46200</v>
      </c>
      <c r="G36" s="2">
        <f t="shared" si="7"/>
        <v>7254</v>
      </c>
      <c r="H36" s="6">
        <f t="shared" si="8"/>
        <v>4836</v>
      </c>
      <c r="I36" s="2">
        <f t="shared" si="9"/>
        <v>6649.5</v>
      </c>
      <c r="J36" s="6">
        <f t="shared" si="10"/>
        <v>5440.5</v>
      </c>
    </row>
    <row r="37" spans="1:10" x14ac:dyDescent="0.2">
      <c r="A37">
        <v>125</v>
      </c>
      <c r="B37">
        <v>20</v>
      </c>
      <c r="C37">
        <v>10</v>
      </c>
      <c r="D37" t="s">
        <v>35</v>
      </c>
      <c r="E37" s="2">
        <v>604.5</v>
      </c>
      <c r="F37" s="1">
        <v>46207</v>
      </c>
      <c r="G37" s="2">
        <f t="shared" si="7"/>
        <v>6649.5</v>
      </c>
      <c r="H37" s="6">
        <f t="shared" si="8"/>
        <v>5440.5</v>
      </c>
      <c r="I37" s="2">
        <f t="shared" si="9"/>
        <v>6045</v>
      </c>
      <c r="J37" s="6">
        <f t="shared" si="10"/>
        <v>6045</v>
      </c>
    </row>
    <row r="38" spans="1:10" x14ac:dyDescent="0.2">
      <c r="A38">
        <v>125</v>
      </c>
      <c r="B38">
        <v>20</v>
      </c>
      <c r="C38">
        <v>11</v>
      </c>
      <c r="D38" t="s">
        <v>36</v>
      </c>
      <c r="E38" s="2">
        <v>604.5</v>
      </c>
      <c r="F38" s="1">
        <v>46214</v>
      </c>
      <c r="G38" s="2">
        <f t="shared" si="7"/>
        <v>6045</v>
      </c>
      <c r="H38" s="6">
        <f t="shared" si="8"/>
        <v>6045</v>
      </c>
      <c r="I38" s="2">
        <f t="shared" si="9"/>
        <v>5440.5</v>
      </c>
      <c r="J38" s="6">
        <f t="shared" si="10"/>
        <v>6649.5</v>
      </c>
    </row>
    <row r="39" spans="1:10" x14ac:dyDescent="0.2">
      <c r="A39">
        <v>125</v>
      </c>
      <c r="B39">
        <v>20</v>
      </c>
      <c r="C39">
        <v>12</v>
      </c>
      <c r="D39" t="s">
        <v>37</v>
      </c>
      <c r="E39" s="2">
        <v>604.5</v>
      </c>
      <c r="F39" s="1">
        <v>46221</v>
      </c>
      <c r="G39" s="2">
        <f t="shared" si="7"/>
        <v>5440.5</v>
      </c>
      <c r="H39" s="6">
        <f t="shared" si="8"/>
        <v>6649.5</v>
      </c>
      <c r="I39" s="2">
        <f t="shared" si="9"/>
        <v>4836</v>
      </c>
      <c r="J39" s="6">
        <f t="shared" si="10"/>
        <v>7254</v>
      </c>
    </row>
    <row r="40" spans="1:10" x14ac:dyDescent="0.2">
      <c r="A40">
        <v>125</v>
      </c>
      <c r="B40">
        <v>20</v>
      </c>
      <c r="C40">
        <v>13</v>
      </c>
      <c r="D40" t="s">
        <v>38</v>
      </c>
      <c r="E40" s="2">
        <v>604.5</v>
      </c>
      <c r="F40" s="1">
        <v>46228</v>
      </c>
      <c r="G40" s="2">
        <f t="shared" si="7"/>
        <v>4836</v>
      </c>
      <c r="H40" s="6">
        <f t="shared" si="8"/>
        <v>7254</v>
      </c>
      <c r="I40" s="2">
        <f t="shared" si="9"/>
        <v>4231.5</v>
      </c>
      <c r="J40" s="6">
        <f t="shared" si="10"/>
        <v>7858.5</v>
      </c>
    </row>
    <row r="41" spans="1:10" x14ac:dyDescent="0.2">
      <c r="A41">
        <v>125</v>
      </c>
      <c r="B41">
        <v>20</v>
      </c>
      <c r="C41">
        <v>14</v>
      </c>
      <c r="D41" t="s">
        <v>39</v>
      </c>
      <c r="E41" s="2">
        <v>604.5</v>
      </c>
      <c r="F41" s="1">
        <v>46235</v>
      </c>
      <c r="G41" s="2">
        <f t="shared" si="7"/>
        <v>4231.5</v>
      </c>
      <c r="H41" s="6">
        <f t="shared" si="8"/>
        <v>7858.5</v>
      </c>
      <c r="I41" s="2">
        <f t="shared" si="9"/>
        <v>3627</v>
      </c>
      <c r="J41" s="6">
        <f t="shared" si="10"/>
        <v>8463</v>
      </c>
    </row>
    <row r="42" spans="1:10" x14ac:dyDescent="0.2">
      <c r="A42">
        <v>125</v>
      </c>
      <c r="B42">
        <v>20</v>
      </c>
      <c r="C42">
        <v>15</v>
      </c>
      <c r="D42" t="s">
        <v>40</v>
      </c>
      <c r="E42" s="2">
        <v>604.5</v>
      </c>
      <c r="F42" s="1">
        <v>46242</v>
      </c>
      <c r="G42" s="2">
        <f t="shared" si="7"/>
        <v>3627</v>
      </c>
      <c r="H42" s="6">
        <f t="shared" si="8"/>
        <v>8463</v>
      </c>
      <c r="I42" s="2">
        <f t="shared" si="9"/>
        <v>3022.5</v>
      </c>
      <c r="J42" s="6">
        <f t="shared" si="10"/>
        <v>9067.5</v>
      </c>
    </row>
    <row r="43" spans="1:10" x14ac:dyDescent="0.2">
      <c r="A43">
        <v>125</v>
      </c>
      <c r="B43">
        <v>20</v>
      </c>
      <c r="C43">
        <v>16</v>
      </c>
      <c r="D43" t="s">
        <v>41</v>
      </c>
      <c r="E43" s="2">
        <v>604.5</v>
      </c>
      <c r="F43" s="1">
        <v>46249</v>
      </c>
      <c r="G43" s="2">
        <f t="shared" si="7"/>
        <v>3022.5</v>
      </c>
      <c r="H43" s="6">
        <f t="shared" si="8"/>
        <v>9067.5</v>
      </c>
      <c r="I43" s="2">
        <f t="shared" si="9"/>
        <v>2418</v>
      </c>
      <c r="J43" s="6">
        <f t="shared" si="10"/>
        <v>9672</v>
      </c>
    </row>
    <row r="44" spans="1:10" x14ac:dyDescent="0.2">
      <c r="A44">
        <v>125</v>
      </c>
      <c r="B44">
        <v>20</v>
      </c>
      <c r="C44">
        <v>17</v>
      </c>
      <c r="D44" t="s">
        <v>42</v>
      </c>
      <c r="E44" s="2">
        <v>604.5</v>
      </c>
      <c r="F44" s="1">
        <v>46256</v>
      </c>
      <c r="G44" s="2">
        <f t="shared" si="7"/>
        <v>2418</v>
      </c>
      <c r="H44" s="6">
        <f t="shared" si="8"/>
        <v>9672</v>
      </c>
      <c r="I44" s="2">
        <f t="shared" si="9"/>
        <v>1813.5</v>
      </c>
      <c r="J44" s="6">
        <f t="shared" si="10"/>
        <v>10276.5</v>
      </c>
    </row>
    <row r="45" spans="1:10" x14ac:dyDescent="0.2">
      <c r="A45">
        <v>125</v>
      </c>
      <c r="B45">
        <v>20</v>
      </c>
      <c r="C45">
        <v>18</v>
      </c>
      <c r="D45" t="s">
        <v>43</v>
      </c>
      <c r="E45" s="2">
        <v>604.5</v>
      </c>
      <c r="F45" s="1">
        <v>46263</v>
      </c>
      <c r="G45" s="2">
        <f t="shared" si="7"/>
        <v>1813.5</v>
      </c>
      <c r="H45" s="6">
        <f t="shared" si="8"/>
        <v>10276.5</v>
      </c>
      <c r="I45" s="2">
        <f t="shared" si="9"/>
        <v>1209</v>
      </c>
      <c r="J45" s="6">
        <f t="shared" si="10"/>
        <v>10881</v>
      </c>
    </row>
    <row r="46" spans="1:10" x14ac:dyDescent="0.2">
      <c r="A46">
        <v>125</v>
      </c>
      <c r="B46">
        <v>20</v>
      </c>
      <c r="C46">
        <v>19</v>
      </c>
      <c r="D46" t="s">
        <v>44</v>
      </c>
      <c r="E46" s="2">
        <v>604.5</v>
      </c>
      <c r="F46" s="1">
        <v>46270</v>
      </c>
      <c r="G46" s="2">
        <f t="shared" si="7"/>
        <v>1209</v>
      </c>
      <c r="H46" s="6">
        <f t="shared" si="8"/>
        <v>10881</v>
      </c>
      <c r="I46" s="2">
        <f t="shared" si="9"/>
        <v>604.5</v>
      </c>
      <c r="J46" s="6">
        <f t="shared" si="10"/>
        <v>11485.5</v>
      </c>
    </row>
    <row r="47" spans="1:10" x14ac:dyDescent="0.2">
      <c r="A47">
        <v>125</v>
      </c>
      <c r="B47">
        <v>20</v>
      </c>
      <c r="C47">
        <v>20</v>
      </c>
      <c r="D47" t="s">
        <v>45</v>
      </c>
      <c r="E47" s="2">
        <v>604.5</v>
      </c>
      <c r="F47" s="1">
        <v>46277</v>
      </c>
      <c r="G47" s="2">
        <f t="shared" si="7"/>
        <v>604.5</v>
      </c>
      <c r="H47" s="6">
        <f t="shared" si="8"/>
        <v>11485.5</v>
      </c>
      <c r="I47" s="2">
        <f t="shared" si="9"/>
        <v>0</v>
      </c>
      <c r="J47" s="6">
        <f t="shared" si="10"/>
        <v>12090</v>
      </c>
    </row>
    <row r="48" spans="1:10" x14ac:dyDescent="0.2">
      <c r="F48" s="1"/>
      <c r="H48" s="6"/>
      <c r="I48" s="2"/>
      <c r="J48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4FCF2-2EDB-AD4B-B3E9-4612D75C69CC}">
  <dimension ref="A1:J47"/>
  <sheetViews>
    <sheetView tabSelected="1" topLeftCell="B1" workbookViewId="0">
      <selection activeCell="G13" sqref="G13"/>
    </sheetView>
  </sheetViews>
  <sheetFormatPr baseColWidth="10" defaultRowHeight="16" x14ac:dyDescent="0.2"/>
  <cols>
    <col min="5" max="5" width="14.1640625" bestFit="1" customWidth="1"/>
    <col min="6" max="6" width="14" bestFit="1" customWidth="1"/>
    <col min="7" max="7" width="19.1640625" bestFit="1" customWidth="1"/>
    <col min="8" max="8" width="25" bestFit="1" customWidth="1"/>
    <col min="9" max="9" width="23.6640625" bestFit="1" customWidth="1"/>
    <col min="10" max="10" width="29.5" bestFit="1" customWidth="1"/>
  </cols>
  <sheetData>
    <row r="1" spans="1:10" x14ac:dyDescent="0.2">
      <c r="A1" t="s">
        <v>0</v>
      </c>
      <c r="B1" t="s">
        <v>6</v>
      </c>
      <c r="C1" t="s">
        <v>16</v>
      </c>
      <c r="D1" t="s">
        <v>17</v>
      </c>
      <c r="E1" t="s">
        <v>59</v>
      </c>
      <c r="F1" t="s">
        <v>60</v>
      </c>
      <c r="G1" t="s">
        <v>21</v>
      </c>
      <c r="H1" t="s">
        <v>61</v>
      </c>
      <c r="I1" t="s">
        <v>62</v>
      </c>
      <c r="J1" t="s">
        <v>63</v>
      </c>
    </row>
    <row r="2" spans="1:10" x14ac:dyDescent="0.2">
      <c r="A2">
        <v>123</v>
      </c>
      <c r="B2">
        <v>20</v>
      </c>
      <c r="C2">
        <v>0</v>
      </c>
      <c r="D2" t="s">
        <v>9</v>
      </c>
      <c r="E2">
        <v>1300</v>
      </c>
      <c r="F2" s="1">
        <v>46135</v>
      </c>
      <c r="G2">
        <v>15580</v>
      </c>
      <c r="H2">
        <v>0</v>
      </c>
      <c r="I2">
        <f>G2-E2</f>
        <v>14280</v>
      </c>
      <c r="J2">
        <f>H2+E2</f>
        <v>1300</v>
      </c>
    </row>
    <row r="3" spans="1:10" x14ac:dyDescent="0.2">
      <c r="A3">
        <v>123</v>
      </c>
      <c r="B3">
        <v>20</v>
      </c>
      <c r="C3">
        <v>1</v>
      </c>
      <c r="D3" t="s">
        <v>24</v>
      </c>
      <c r="E3">
        <v>800</v>
      </c>
      <c r="F3" s="1">
        <v>46136</v>
      </c>
      <c r="G3">
        <f>I2</f>
        <v>14280</v>
      </c>
      <c r="H3">
        <f>J2</f>
        <v>1300</v>
      </c>
      <c r="I3">
        <f>G3-E3</f>
        <v>13480</v>
      </c>
      <c r="J3">
        <f>E3+H3</f>
        <v>2100</v>
      </c>
    </row>
    <row r="4" spans="1:10" x14ac:dyDescent="0.2">
      <c r="A4">
        <v>123</v>
      </c>
      <c r="B4">
        <v>20</v>
      </c>
      <c r="C4">
        <v>2</v>
      </c>
      <c r="D4" t="s">
        <v>46</v>
      </c>
      <c r="G4">
        <f t="shared" ref="G4:G22" si="0">I3</f>
        <v>13480</v>
      </c>
      <c r="H4">
        <f t="shared" ref="H4:H22" si="1">J3</f>
        <v>2100</v>
      </c>
      <c r="I4">
        <f>G4-E4</f>
        <v>13480</v>
      </c>
      <c r="J4">
        <f t="shared" ref="J4:J22" si="2">E4+H4</f>
        <v>2100</v>
      </c>
    </row>
    <row r="5" spans="1:10" x14ac:dyDescent="0.2">
      <c r="A5">
        <v>123</v>
      </c>
      <c r="B5">
        <v>20</v>
      </c>
      <c r="C5">
        <v>3</v>
      </c>
      <c r="D5" t="s">
        <v>53</v>
      </c>
      <c r="G5">
        <f t="shared" si="0"/>
        <v>13480</v>
      </c>
      <c r="H5">
        <f t="shared" si="1"/>
        <v>2100</v>
      </c>
      <c r="I5">
        <f t="shared" ref="I5:I22" si="3">G5-E5</f>
        <v>13480</v>
      </c>
      <c r="J5">
        <f t="shared" si="2"/>
        <v>2100</v>
      </c>
    </row>
    <row r="6" spans="1:10" x14ac:dyDescent="0.2">
      <c r="A6">
        <v>123</v>
      </c>
      <c r="B6">
        <v>20</v>
      </c>
      <c r="C6">
        <v>4</v>
      </c>
      <c r="D6" t="s">
        <v>27</v>
      </c>
      <c r="G6">
        <f t="shared" si="0"/>
        <v>13480</v>
      </c>
      <c r="H6">
        <f t="shared" si="1"/>
        <v>2100</v>
      </c>
      <c r="I6">
        <f t="shared" si="3"/>
        <v>13480</v>
      </c>
      <c r="J6">
        <f t="shared" si="2"/>
        <v>2100</v>
      </c>
    </row>
    <row r="7" spans="1:10" x14ac:dyDescent="0.2">
      <c r="A7">
        <v>123</v>
      </c>
      <c r="B7">
        <v>20</v>
      </c>
      <c r="C7">
        <v>5</v>
      </c>
      <c r="D7" t="s">
        <v>47</v>
      </c>
      <c r="G7">
        <f t="shared" si="0"/>
        <v>13480</v>
      </c>
      <c r="H7">
        <f t="shared" si="1"/>
        <v>2100</v>
      </c>
      <c r="I7">
        <f t="shared" si="3"/>
        <v>13480</v>
      </c>
      <c r="J7">
        <f t="shared" si="2"/>
        <v>2100</v>
      </c>
    </row>
    <row r="8" spans="1:10" x14ac:dyDescent="0.2">
      <c r="A8">
        <v>123</v>
      </c>
      <c r="B8">
        <v>20</v>
      </c>
      <c r="C8">
        <v>6</v>
      </c>
      <c r="D8" t="s">
        <v>54</v>
      </c>
      <c r="G8">
        <f t="shared" si="0"/>
        <v>13480</v>
      </c>
      <c r="H8">
        <f t="shared" si="1"/>
        <v>2100</v>
      </c>
      <c r="I8">
        <f t="shared" si="3"/>
        <v>13480</v>
      </c>
      <c r="J8">
        <f t="shared" si="2"/>
        <v>2100</v>
      </c>
    </row>
    <row r="9" spans="1:10" x14ac:dyDescent="0.2">
      <c r="A9">
        <v>123</v>
      </c>
      <c r="B9">
        <v>20</v>
      </c>
      <c r="C9">
        <v>7</v>
      </c>
      <c r="D9" t="s">
        <v>28</v>
      </c>
      <c r="G9">
        <f t="shared" si="0"/>
        <v>13480</v>
      </c>
      <c r="H9">
        <f t="shared" si="1"/>
        <v>2100</v>
      </c>
      <c r="I9">
        <f t="shared" si="3"/>
        <v>13480</v>
      </c>
      <c r="J9">
        <f t="shared" si="2"/>
        <v>2100</v>
      </c>
    </row>
    <row r="10" spans="1:10" x14ac:dyDescent="0.2">
      <c r="A10">
        <v>123</v>
      </c>
      <c r="B10">
        <v>20</v>
      </c>
      <c r="C10">
        <v>8</v>
      </c>
      <c r="D10" t="s">
        <v>48</v>
      </c>
      <c r="G10">
        <f t="shared" si="0"/>
        <v>13480</v>
      </c>
      <c r="H10">
        <f t="shared" si="1"/>
        <v>2100</v>
      </c>
      <c r="I10">
        <f t="shared" si="3"/>
        <v>13480</v>
      </c>
      <c r="J10">
        <f t="shared" si="2"/>
        <v>2100</v>
      </c>
    </row>
    <row r="11" spans="1:10" x14ac:dyDescent="0.2">
      <c r="A11">
        <v>123</v>
      </c>
      <c r="B11">
        <v>20</v>
      </c>
      <c r="C11">
        <v>9</v>
      </c>
      <c r="D11" t="s">
        <v>55</v>
      </c>
      <c r="G11">
        <f t="shared" si="0"/>
        <v>13480</v>
      </c>
      <c r="H11">
        <f t="shared" si="1"/>
        <v>2100</v>
      </c>
      <c r="I11">
        <f t="shared" si="3"/>
        <v>13480</v>
      </c>
      <c r="J11">
        <f t="shared" si="2"/>
        <v>2100</v>
      </c>
    </row>
    <row r="12" spans="1:10" x14ac:dyDescent="0.2">
      <c r="A12">
        <v>123</v>
      </c>
      <c r="B12">
        <v>20</v>
      </c>
      <c r="C12">
        <v>10</v>
      </c>
      <c r="D12" t="s">
        <v>29</v>
      </c>
      <c r="G12">
        <f t="shared" si="0"/>
        <v>13480</v>
      </c>
      <c r="H12">
        <f t="shared" si="1"/>
        <v>2100</v>
      </c>
      <c r="I12">
        <f t="shared" si="3"/>
        <v>13480</v>
      </c>
      <c r="J12">
        <f t="shared" si="2"/>
        <v>2100</v>
      </c>
    </row>
    <row r="13" spans="1:10" x14ac:dyDescent="0.2">
      <c r="A13">
        <v>123</v>
      </c>
      <c r="B13">
        <v>20</v>
      </c>
      <c r="C13">
        <v>11</v>
      </c>
      <c r="D13" t="s">
        <v>49</v>
      </c>
      <c r="G13">
        <f t="shared" si="0"/>
        <v>13480</v>
      </c>
      <c r="H13">
        <f t="shared" si="1"/>
        <v>2100</v>
      </c>
      <c r="I13">
        <f t="shared" si="3"/>
        <v>13480</v>
      </c>
      <c r="J13">
        <f t="shared" si="2"/>
        <v>2100</v>
      </c>
    </row>
    <row r="14" spans="1:10" x14ac:dyDescent="0.2">
      <c r="A14">
        <v>123</v>
      </c>
      <c r="B14">
        <v>20</v>
      </c>
      <c r="C14">
        <v>12</v>
      </c>
      <c r="D14" t="s">
        <v>56</v>
      </c>
      <c r="G14">
        <f t="shared" si="0"/>
        <v>13480</v>
      </c>
      <c r="H14">
        <f t="shared" si="1"/>
        <v>2100</v>
      </c>
      <c r="I14">
        <f t="shared" si="3"/>
        <v>13480</v>
      </c>
      <c r="J14">
        <f t="shared" si="2"/>
        <v>2100</v>
      </c>
    </row>
    <row r="15" spans="1:10" x14ac:dyDescent="0.2">
      <c r="A15">
        <v>123</v>
      </c>
      <c r="B15">
        <v>20</v>
      </c>
      <c r="C15">
        <v>13</v>
      </c>
      <c r="D15" t="s">
        <v>30</v>
      </c>
      <c r="G15">
        <f t="shared" si="0"/>
        <v>13480</v>
      </c>
      <c r="H15">
        <f t="shared" si="1"/>
        <v>2100</v>
      </c>
      <c r="I15">
        <f t="shared" si="3"/>
        <v>13480</v>
      </c>
      <c r="J15">
        <f t="shared" si="2"/>
        <v>2100</v>
      </c>
    </row>
    <row r="16" spans="1:10" x14ac:dyDescent="0.2">
      <c r="A16">
        <v>123</v>
      </c>
      <c r="B16">
        <v>20</v>
      </c>
      <c r="C16">
        <v>14</v>
      </c>
      <c r="D16" t="s">
        <v>50</v>
      </c>
      <c r="G16">
        <f t="shared" si="0"/>
        <v>13480</v>
      </c>
      <c r="H16">
        <f t="shared" si="1"/>
        <v>2100</v>
      </c>
      <c r="I16">
        <f t="shared" si="3"/>
        <v>13480</v>
      </c>
      <c r="J16">
        <f t="shared" si="2"/>
        <v>2100</v>
      </c>
    </row>
    <row r="17" spans="1:10" x14ac:dyDescent="0.2">
      <c r="A17">
        <v>123</v>
      </c>
      <c r="B17">
        <v>20</v>
      </c>
      <c r="C17">
        <v>15</v>
      </c>
      <c r="D17" t="s">
        <v>57</v>
      </c>
      <c r="G17">
        <f t="shared" si="0"/>
        <v>13480</v>
      </c>
      <c r="H17">
        <f t="shared" si="1"/>
        <v>2100</v>
      </c>
      <c r="I17">
        <f t="shared" si="3"/>
        <v>13480</v>
      </c>
      <c r="J17">
        <f t="shared" si="2"/>
        <v>2100</v>
      </c>
    </row>
    <row r="18" spans="1:10" x14ac:dyDescent="0.2">
      <c r="A18">
        <v>123</v>
      </c>
      <c r="B18">
        <v>20</v>
      </c>
      <c r="C18">
        <v>16</v>
      </c>
      <c r="D18" t="s">
        <v>31</v>
      </c>
      <c r="G18">
        <f t="shared" si="0"/>
        <v>13480</v>
      </c>
      <c r="H18">
        <f t="shared" si="1"/>
        <v>2100</v>
      </c>
      <c r="I18">
        <f t="shared" si="3"/>
        <v>13480</v>
      </c>
      <c r="J18">
        <f t="shared" si="2"/>
        <v>2100</v>
      </c>
    </row>
    <row r="19" spans="1:10" x14ac:dyDescent="0.2">
      <c r="A19">
        <v>123</v>
      </c>
      <c r="B19">
        <v>20</v>
      </c>
      <c r="C19">
        <v>17</v>
      </c>
      <c r="D19" t="s">
        <v>51</v>
      </c>
      <c r="G19">
        <f t="shared" si="0"/>
        <v>13480</v>
      </c>
      <c r="H19">
        <f t="shared" si="1"/>
        <v>2100</v>
      </c>
      <c r="I19">
        <f t="shared" si="3"/>
        <v>13480</v>
      </c>
      <c r="J19">
        <f t="shared" si="2"/>
        <v>2100</v>
      </c>
    </row>
    <row r="20" spans="1:10" x14ac:dyDescent="0.2">
      <c r="A20">
        <v>123</v>
      </c>
      <c r="B20">
        <v>20</v>
      </c>
      <c r="C20">
        <v>18</v>
      </c>
      <c r="D20" t="s">
        <v>58</v>
      </c>
      <c r="G20">
        <f t="shared" si="0"/>
        <v>13480</v>
      </c>
      <c r="H20">
        <f t="shared" si="1"/>
        <v>2100</v>
      </c>
      <c r="I20">
        <f t="shared" si="3"/>
        <v>13480</v>
      </c>
      <c r="J20">
        <f t="shared" si="2"/>
        <v>2100</v>
      </c>
    </row>
    <row r="21" spans="1:10" x14ac:dyDescent="0.2">
      <c r="A21">
        <v>123</v>
      </c>
      <c r="B21">
        <v>20</v>
      </c>
      <c r="C21">
        <v>19</v>
      </c>
      <c r="D21" t="s">
        <v>32</v>
      </c>
      <c r="G21">
        <f t="shared" si="0"/>
        <v>13480</v>
      </c>
      <c r="H21">
        <f t="shared" si="1"/>
        <v>2100</v>
      </c>
      <c r="I21">
        <f t="shared" si="3"/>
        <v>13480</v>
      </c>
      <c r="J21">
        <f t="shared" si="2"/>
        <v>2100</v>
      </c>
    </row>
    <row r="22" spans="1:10" x14ac:dyDescent="0.2">
      <c r="A22">
        <v>123</v>
      </c>
      <c r="B22">
        <v>20</v>
      </c>
      <c r="C22">
        <v>20</v>
      </c>
      <c r="D22" t="s">
        <v>52</v>
      </c>
      <c r="G22">
        <f t="shared" si="0"/>
        <v>13480</v>
      </c>
      <c r="H22">
        <f t="shared" si="1"/>
        <v>2100</v>
      </c>
      <c r="I22">
        <f t="shared" si="3"/>
        <v>13480</v>
      </c>
      <c r="J22">
        <f t="shared" si="2"/>
        <v>2100</v>
      </c>
    </row>
    <row r="23" spans="1:10" x14ac:dyDescent="0.2">
      <c r="A23">
        <v>124</v>
      </c>
      <c r="B23">
        <v>3</v>
      </c>
      <c r="C23">
        <v>0</v>
      </c>
      <c r="D23" t="s">
        <v>9</v>
      </c>
      <c r="G23">
        <v>500</v>
      </c>
      <c r="H23">
        <v>0</v>
      </c>
      <c r="I23">
        <v>500</v>
      </c>
      <c r="J23">
        <v>0</v>
      </c>
    </row>
    <row r="24" spans="1:10" x14ac:dyDescent="0.2">
      <c r="A24">
        <v>124</v>
      </c>
      <c r="B24">
        <v>3</v>
      </c>
      <c r="C24">
        <v>1</v>
      </c>
      <c r="D24" t="s">
        <v>24</v>
      </c>
      <c r="G24">
        <v>300</v>
      </c>
      <c r="H24">
        <v>0</v>
      </c>
      <c r="I24">
        <v>500</v>
      </c>
      <c r="J24">
        <v>0</v>
      </c>
    </row>
    <row r="25" spans="1:10" x14ac:dyDescent="0.2">
      <c r="A25">
        <v>124</v>
      </c>
      <c r="B25">
        <v>3</v>
      </c>
      <c r="C25">
        <v>2</v>
      </c>
      <c r="D25" t="s">
        <v>27</v>
      </c>
      <c r="G25">
        <v>200</v>
      </c>
      <c r="H25">
        <v>0</v>
      </c>
      <c r="I25">
        <v>500</v>
      </c>
      <c r="J25">
        <v>0</v>
      </c>
    </row>
    <row r="26" spans="1:10" x14ac:dyDescent="0.2">
      <c r="A26">
        <v>124</v>
      </c>
      <c r="B26">
        <v>3</v>
      </c>
      <c r="C26">
        <v>3</v>
      </c>
      <c r="D26" t="s">
        <v>28</v>
      </c>
      <c r="G26">
        <v>100</v>
      </c>
      <c r="H26">
        <v>0</v>
      </c>
      <c r="I26">
        <v>500</v>
      </c>
      <c r="J26">
        <v>0</v>
      </c>
    </row>
    <row r="27" spans="1:10" x14ac:dyDescent="0.2">
      <c r="A27">
        <v>125</v>
      </c>
      <c r="B27">
        <v>20</v>
      </c>
      <c r="C27">
        <v>0</v>
      </c>
      <c r="D27" t="s">
        <v>9</v>
      </c>
      <c r="G27">
        <v>12090</v>
      </c>
      <c r="H27">
        <v>0</v>
      </c>
      <c r="I27">
        <v>12090</v>
      </c>
      <c r="J27">
        <v>0</v>
      </c>
    </row>
    <row r="28" spans="1:10" x14ac:dyDescent="0.2">
      <c r="A28">
        <v>125</v>
      </c>
      <c r="B28">
        <v>20</v>
      </c>
      <c r="C28">
        <v>1</v>
      </c>
      <c r="D28" t="s">
        <v>24</v>
      </c>
      <c r="G28">
        <v>12090</v>
      </c>
      <c r="H28">
        <v>0</v>
      </c>
      <c r="I28">
        <v>12090</v>
      </c>
      <c r="J28">
        <v>0</v>
      </c>
    </row>
    <row r="29" spans="1:10" x14ac:dyDescent="0.2">
      <c r="A29">
        <v>125</v>
      </c>
      <c r="B29">
        <v>20</v>
      </c>
      <c r="C29">
        <v>2</v>
      </c>
      <c r="D29" t="s">
        <v>27</v>
      </c>
      <c r="G29">
        <v>12090</v>
      </c>
      <c r="H29">
        <v>0</v>
      </c>
      <c r="I29">
        <v>12090</v>
      </c>
      <c r="J29">
        <v>0</v>
      </c>
    </row>
    <row r="30" spans="1:10" x14ac:dyDescent="0.2">
      <c r="A30">
        <v>125</v>
      </c>
      <c r="B30">
        <v>20</v>
      </c>
      <c r="C30">
        <v>3</v>
      </c>
      <c r="D30" t="s">
        <v>28</v>
      </c>
      <c r="G30">
        <v>12090</v>
      </c>
      <c r="H30">
        <v>0</v>
      </c>
      <c r="I30">
        <v>12090</v>
      </c>
      <c r="J30">
        <v>0</v>
      </c>
    </row>
    <row r="31" spans="1:10" x14ac:dyDescent="0.2">
      <c r="A31">
        <v>125</v>
      </c>
      <c r="B31">
        <v>20</v>
      </c>
      <c r="C31">
        <v>4</v>
      </c>
      <c r="D31" t="s">
        <v>29</v>
      </c>
      <c r="G31">
        <v>12090</v>
      </c>
      <c r="H31">
        <v>0</v>
      </c>
      <c r="I31">
        <v>12090</v>
      </c>
      <c r="J31">
        <v>0</v>
      </c>
    </row>
    <row r="32" spans="1:10" x14ac:dyDescent="0.2">
      <c r="A32">
        <v>125</v>
      </c>
      <c r="B32">
        <v>20</v>
      </c>
      <c r="C32">
        <v>5</v>
      </c>
      <c r="D32" t="s">
        <v>30</v>
      </c>
      <c r="G32">
        <v>12090</v>
      </c>
      <c r="H32">
        <v>0</v>
      </c>
      <c r="I32">
        <v>12090</v>
      </c>
      <c r="J32">
        <v>0</v>
      </c>
    </row>
    <row r="33" spans="1:10" x14ac:dyDescent="0.2">
      <c r="A33">
        <v>125</v>
      </c>
      <c r="B33">
        <v>20</v>
      </c>
      <c r="C33">
        <v>6</v>
      </c>
      <c r="D33" t="s">
        <v>31</v>
      </c>
      <c r="G33">
        <v>12090</v>
      </c>
      <c r="H33">
        <v>0</v>
      </c>
      <c r="I33">
        <v>12090</v>
      </c>
      <c r="J33">
        <v>0</v>
      </c>
    </row>
    <row r="34" spans="1:10" x14ac:dyDescent="0.2">
      <c r="A34">
        <v>125</v>
      </c>
      <c r="B34">
        <v>20</v>
      </c>
      <c r="C34">
        <v>7</v>
      </c>
      <c r="D34" t="s">
        <v>32</v>
      </c>
      <c r="G34">
        <v>12090</v>
      </c>
      <c r="H34">
        <v>0</v>
      </c>
      <c r="I34">
        <v>12090</v>
      </c>
      <c r="J34">
        <v>0</v>
      </c>
    </row>
    <row r="35" spans="1:10" x14ac:dyDescent="0.2">
      <c r="A35">
        <v>125</v>
      </c>
      <c r="B35">
        <v>20</v>
      </c>
      <c r="C35">
        <v>8</v>
      </c>
      <c r="D35" t="s">
        <v>33</v>
      </c>
      <c r="G35">
        <v>12090</v>
      </c>
      <c r="H35">
        <v>0</v>
      </c>
      <c r="I35">
        <v>12090</v>
      </c>
      <c r="J35">
        <v>0</v>
      </c>
    </row>
    <row r="36" spans="1:10" x14ac:dyDescent="0.2">
      <c r="A36">
        <v>125</v>
      </c>
      <c r="B36">
        <v>20</v>
      </c>
      <c r="C36">
        <v>9</v>
      </c>
      <c r="D36" t="s">
        <v>34</v>
      </c>
      <c r="G36">
        <v>12090</v>
      </c>
      <c r="H36">
        <v>0</v>
      </c>
      <c r="I36">
        <v>12090</v>
      </c>
      <c r="J36">
        <v>0</v>
      </c>
    </row>
    <row r="37" spans="1:10" x14ac:dyDescent="0.2">
      <c r="A37">
        <v>125</v>
      </c>
      <c r="B37">
        <v>20</v>
      </c>
      <c r="C37">
        <v>10</v>
      </c>
      <c r="D37" t="s">
        <v>35</v>
      </c>
      <c r="G37">
        <v>12090</v>
      </c>
      <c r="H37">
        <v>0</v>
      </c>
      <c r="I37">
        <v>12090</v>
      </c>
      <c r="J37">
        <v>0</v>
      </c>
    </row>
    <row r="38" spans="1:10" x14ac:dyDescent="0.2">
      <c r="A38">
        <v>125</v>
      </c>
      <c r="B38">
        <v>20</v>
      </c>
      <c r="C38">
        <v>11</v>
      </c>
      <c r="D38" t="s">
        <v>36</v>
      </c>
      <c r="G38">
        <v>12090</v>
      </c>
      <c r="H38">
        <v>0</v>
      </c>
      <c r="I38">
        <v>12090</v>
      </c>
      <c r="J38">
        <v>0</v>
      </c>
    </row>
    <row r="39" spans="1:10" x14ac:dyDescent="0.2">
      <c r="A39">
        <v>125</v>
      </c>
      <c r="B39">
        <v>20</v>
      </c>
      <c r="C39">
        <v>12</v>
      </c>
      <c r="D39" t="s">
        <v>37</v>
      </c>
      <c r="G39">
        <v>12090</v>
      </c>
      <c r="H39">
        <v>0</v>
      </c>
      <c r="I39">
        <v>12090</v>
      </c>
      <c r="J39">
        <v>0</v>
      </c>
    </row>
    <row r="40" spans="1:10" x14ac:dyDescent="0.2">
      <c r="A40">
        <v>125</v>
      </c>
      <c r="B40">
        <v>20</v>
      </c>
      <c r="C40">
        <v>13</v>
      </c>
      <c r="D40" t="s">
        <v>38</v>
      </c>
      <c r="G40">
        <v>12090</v>
      </c>
      <c r="H40">
        <v>0</v>
      </c>
      <c r="I40">
        <v>12090</v>
      </c>
      <c r="J40">
        <v>0</v>
      </c>
    </row>
    <row r="41" spans="1:10" x14ac:dyDescent="0.2">
      <c r="A41">
        <v>125</v>
      </c>
      <c r="B41">
        <v>20</v>
      </c>
      <c r="C41">
        <v>14</v>
      </c>
      <c r="D41" t="s">
        <v>39</v>
      </c>
      <c r="G41">
        <v>12090</v>
      </c>
      <c r="H41">
        <v>0</v>
      </c>
      <c r="I41">
        <v>12090</v>
      </c>
      <c r="J41">
        <v>0</v>
      </c>
    </row>
    <row r="42" spans="1:10" x14ac:dyDescent="0.2">
      <c r="A42">
        <v>125</v>
      </c>
      <c r="B42">
        <v>20</v>
      </c>
      <c r="C42">
        <v>15</v>
      </c>
      <c r="D42" t="s">
        <v>40</v>
      </c>
      <c r="G42">
        <v>12090</v>
      </c>
      <c r="H42">
        <v>0</v>
      </c>
      <c r="I42">
        <v>12090</v>
      </c>
      <c r="J42">
        <v>0</v>
      </c>
    </row>
    <row r="43" spans="1:10" x14ac:dyDescent="0.2">
      <c r="A43">
        <v>125</v>
      </c>
      <c r="B43">
        <v>20</v>
      </c>
      <c r="C43">
        <v>16</v>
      </c>
      <c r="D43" t="s">
        <v>41</v>
      </c>
      <c r="G43">
        <v>12090</v>
      </c>
      <c r="H43">
        <v>0</v>
      </c>
      <c r="I43">
        <v>12090</v>
      </c>
      <c r="J43">
        <v>0</v>
      </c>
    </row>
    <row r="44" spans="1:10" x14ac:dyDescent="0.2">
      <c r="A44">
        <v>125</v>
      </c>
      <c r="B44">
        <v>20</v>
      </c>
      <c r="C44">
        <v>17</v>
      </c>
      <c r="D44" t="s">
        <v>42</v>
      </c>
      <c r="G44">
        <v>12090</v>
      </c>
      <c r="H44">
        <v>0</v>
      </c>
      <c r="I44">
        <v>12090</v>
      </c>
      <c r="J44">
        <v>0</v>
      </c>
    </row>
    <row r="45" spans="1:10" x14ac:dyDescent="0.2">
      <c r="A45">
        <v>125</v>
      </c>
      <c r="B45">
        <v>20</v>
      </c>
      <c r="C45">
        <v>18</v>
      </c>
      <c r="D45" t="s">
        <v>43</v>
      </c>
      <c r="G45">
        <v>12090</v>
      </c>
      <c r="H45">
        <v>0</v>
      </c>
      <c r="I45">
        <v>12090</v>
      </c>
      <c r="J45">
        <v>0</v>
      </c>
    </row>
    <row r="46" spans="1:10" x14ac:dyDescent="0.2">
      <c r="A46">
        <v>125</v>
      </c>
      <c r="B46">
        <v>20</v>
      </c>
      <c r="C46">
        <v>19</v>
      </c>
      <c r="D46" t="s">
        <v>44</v>
      </c>
      <c r="G46">
        <v>12090</v>
      </c>
      <c r="H46">
        <v>0</v>
      </c>
      <c r="I46">
        <v>12090</v>
      </c>
      <c r="J46">
        <v>0</v>
      </c>
    </row>
    <row r="47" spans="1:10" x14ac:dyDescent="0.2">
      <c r="A47">
        <v>125</v>
      </c>
      <c r="B47">
        <v>20</v>
      </c>
      <c r="C47">
        <v>20</v>
      </c>
      <c r="D47" t="s">
        <v>45</v>
      </c>
      <c r="G47">
        <v>12090</v>
      </c>
      <c r="H47">
        <v>0</v>
      </c>
      <c r="I47">
        <v>12090</v>
      </c>
      <c r="J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Historial Pagos</vt:lpstr>
      <vt:lpstr>Amortizaciones</vt:lpstr>
      <vt:lpstr>Mapa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2026-05-05T21:32:24Z</dcterms:created>
  <dcterms:modified xsi:type="dcterms:W3CDTF">2026-05-06T01:02:01Z</dcterms:modified>
</cp:coreProperties>
</file>