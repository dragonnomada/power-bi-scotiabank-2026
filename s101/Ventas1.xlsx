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ocuments/Cursos 2025/BELATRIX-POWERBI-2026/curso/grupo 2/"/>
    </mc:Choice>
  </mc:AlternateContent>
  <xr:revisionPtr revIDLastSave="0" documentId="13_ncr:1_{DE577244-A0BF-C64E-8272-487BB6075124}" xr6:coauthVersionLast="47" xr6:coauthVersionMax="47" xr10:uidLastSave="{00000000-0000-0000-0000-000000000000}"/>
  <bookViews>
    <workbookView xWindow="38400" yWindow="4360" windowWidth="21600" windowHeight="15600" activeTab="1" xr2:uid="{A14908C8-A0F8-F14E-8FF4-A2EC27E7916A}"/>
  </bookViews>
  <sheets>
    <sheet name="Mixto" sheetId="1" r:id="rId1"/>
    <sheet name="Ventas" sheetId="2" r:id="rId2"/>
    <sheet name="Reporte Ventas" sheetId="3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 a="1"/>
  <c r="J6" i="1" s="1"/>
  <c r="L6" i="1" s="1" a="1"/>
  <c r="L6" i="1" s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L8" i="1" l="1" a="1"/>
  <c r="L8" i="1" s="1"/>
  <c r="L7" i="1" a="1"/>
  <c r="L7" i="1" s="1"/>
  <c r="L11" i="1" a="1"/>
  <c r="L11" i="1" s="1"/>
  <c r="M11" i="1" s="1"/>
  <c r="L10" i="1" a="1"/>
  <c r="L10" i="1" s="1"/>
  <c r="M10" i="1" s="1"/>
  <c r="L9" i="1" a="1"/>
  <c r="L9" i="1" s="1"/>
  <c r="K9" i="1" a="1"/>
  <c r="K9" i="1" s="1"/>
  <c r="K8" i="1" a="1"/>
  <c r="K8" i="1" s="1"/>
  <c r="K6" i="1" a="1"/>
  <c r="K6" i="1" s="1"/>
  <c r="M6" i="1" s="1"/>
  <c r="K7" i="1" a="1"/>
  <c r="K7" i="1" s="1"/>
  <c r="K11" i="1" a="1"/>
  <c r="K11" i="1" s="1"/>
  <c r="K10" i="1" a="1"/>
  <c r="K10" i="1" s="1"/>
  <c r="M9" i="1" l="1"/>
  <c r="M7" i="1"/>
  <c r="M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<sst xmlns="http://schemas.openxmlformats.org/spreadsheetml/2006/main" count="72" uniqueCount="24">
  <si>
    <t>Ventas</t>
  </si>
  <si>
    <t>Folio</t>
  </si>
  <si>
    <t>Creada</t>
  </si>
  <si>
    <t>Actualizada</t>
  </si>
  <si>
    <t>Estado</t>
  </si>
  <si>
    <t>Saldo Total</t>
  </si>
  <si>
    <t>Total Pago</t>
  </si>
  <si>
    <t>Saldo Actualizado</t>
  </si>
  <si>
    <t>activa</t>
  </si>
  <si>
    <t>Fecha</t>
  </si>
  <si>
    <t>Suma Saldo Total</t>
  </si>
  <si>
    <t>Ventas totales</t>
  </si>
  <si>
    <t>Promedio</t>
  </si>
  <si>
    <t>Etiquetas de fila</t>
  </si>
  <si>
    <t>Total general</t>
  </si>
  <si>
    <t>Etiquetas de columna</t>
  </si>
  <si>
    <t>Reporte de Ventas por Día</t>
  </si>
  <si>
    <t>Cuenta de Folio</t>
  </si>
  <si>
    <t>Reporte de Suma de Saldo Total por Día</t>
  </si>
  <si>
    <t>Suma de Saldo Total</t>
  </si>
  <si>
    <t>Reporte del Promedio de Saldo Total por Día</t>
  </si>
  <si>
    <t>Promedio de Saldo Total</t>
  </si>
  <si>
    <t>Reporte de (Suma de Saldo Total) por (Fecha y Folio)</t>
  </si>
  <si>
    <t>Reporte de (Promedio de Saldo Total) por (Fecha y 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</si>
</sst>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44" fontId="0" fillId="2" borderId="0" xfId="1" applyFont="1" applyFill="1"/>
    <xf numFmtId="14" fontId="0" fillId="3" borderId="0" xfId="0" applyNumberFormat="1" applyFill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14" fontId="0" fillId="4" borderId="0" xfId="0" applyNumberFormat="1" applyFill="1"/>
    <xf numFmtId="44" fontId="0" fillId="4" borderId="0" xfId="1" applyFont="1" applyFill="1"/>
    <xf numFmtId="0" fontId="0" fillId="5" borderId="0" xfId="0" applyFill="1"/>
    <xf numFmtId="14" fontId="0" fillId="5" borderId="0" xfId="0" applyNumberFormat="1" applyFill="1"/>
    <xf numFmtId="44" fontId="0" fillId="5" borderId="0" xfId="1" applyFont="1" applyFill="1"/>
    <xf numFmtId="0" fontId="0" fillId="6" borderId="0" xfId="0" applyFill="1"/>
    <xf numFmtId="14" fontId="0" fillId="6" borderId="0" xfId="0" applyNumberFormat="1" applyFill="1"/>
    <xf numFmtId="44" fontId="0" fillId="6" borderId="0" xfId="1" applyFont="1" applyFill="1"/>
    <xf numFmtId="0" fontId="0" fillId="7" borderId="0" xfId="0" applyFill="1"/>
    <xf numFmtId="14" fontId="0" fillId="7" borderId="0" xfId="0" applyNumberFormat="1" applyFill="1"/>
    <xf numFmtId="44" fontId="0" fillId="7" borderId="0" xfId="1" applyFont="1" applyFill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Moneda" xfId="1" builtinId="4"/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Mixto!$K$5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Mixto!$J$6:$J$11</c:f>
              <c:numCache>
                <c:formatCode>m/d/yy</c:formatCode>
                <c:ptCount val="6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46141</c:v>
                </c:pt>
              </c:numCache>
            </c:numRef>
          </c:cat>
          <c:val>
            <c:numRef>
              <c:f>Mixto!$K$6:$K$11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8-EA4F-BB18-B7A02836A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143679"/>
        <c:axId val="358143231"/>
      </c:barChart>
      <c:dateAx>
        <c:axId val="35814367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8143231"/>
        <c:crosses val="autoZero"/>
        <c:auto val="1"/>
        <c:lblOffset val="100"/>
        <c:baseTimeUnit val="days"/>
      </c:dateAx>
      <c:valAx>
        <c:axId val="35814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81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Mixto!$L$5</c:f>
              <c:strCache>
                <c:ptCount val="1"/>
                <c:pt idx="0">
                  <c:v>Suma Saldo 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Mixto!$J$6:$J$11</c:f>
              <c:numCache>
                <c:formatCode>m/d/yy</c:formatCode>
                <c:ptCount val="6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46141</c:v>
                </c:pt>
              </c:numCache>
            </c:numRef>
          </c:cat>
          <c:val>
            <c:numRef>
              <c:f>Mixto!$L$6:$L$11</c:f>
              <c:numCache>
                <c:formatCode>_("$"* #,##0.00_);_("$"* \(#,##0.00\);_("$"* "-"??_);_(@_)</c:formatCode>
                <c:ptCount val="6"/>
                <c:pt idx="0">
                  <c:v>37500</c:v>
                </c:pt>
                <c:pt idx="1">
                  <c:v>18800</c:v>
                </c:pt>
                <c:pt idx="2">
                  <c:v>14098</c:v>
                </c:pt>
                <c:pt idx="3">
                  <c:v>6788</c:v>
                </c:pt>
                <c:pt idx="4">
                  <c:v>23999</c:v>
                </c:pt>
                <c:pt idx="5">
                  <c:v>36210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B-2441-8526-81FD401F2F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82069695"/>
        <c:axId val="382058943"/>
      </c:lineChart>
      <c:dateAx>
        <c:axId val="38206969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2058943"/>
        <c:crosses val="autoZero"/>
        <c:auto val="1"/>
        <c:lblOffset val="100"/>
        <c:baseTimeUnit val="days"/>
      </c:dateAx>
      <c:valAx>
        <c:axId val="382058943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206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Mixto!$K$5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Mixto!$J$6:$J$11</c:f>
              <c:numCache>
                <c:formatCode>m/d/yy</c:formatCode>
                <c:ptCount val="6"/>
                <c:pt idx="0">
                  <c:v>46135</c:v>
                </c:pt>
                <c:pt idx="1">
                  <c:v>46136</c:v>
                </c:pt>
                <c:pt idx="2">
                  <c:v>46137</c:v>
                </c:pt>
                <c:pt idx="3">
                  <c:v>46138</c:v>
                </c:pt>
                <c:pt idx="4">
                  <c:v>46139</c:v>
                </c:pt>
                <c:pt idx="5">
                  <c:v>46141</c:v>
                </c:pt>
              </c:numCache>
            </c:numRef>
          </c:cat>
          <c:val>
            <c:numRef>
              <c:f>Mixto!$K$6:$K$11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B-6641-BE5C-0AF314623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8681983"/>
        <c:axId val="382060287"/>
      </c:barChart>
      <c:lineChart>
        <c:grouping val="standard"/>
        <c:varyColors val="0"/>
        <c:ser>
          <c:idx val="1"/>
          <c:order val="1"/>
          <c:tx>
            <c:strRef>
              <c:f>Mixto!$M$5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Mixto!$M$6:$M$11</c:f>
              <c:numCache>
                <c:formatCode>_("$"* #,##0.00_);_("$"* \(#,##0.00\);_("$"* "-"??_);_(@_)</c:formatCode>
                <c:ptCount val="6"/>
                <c:pt idx="0">
                  <c:v>12500</c:v>
                </c:pt>
                <c:pt idx="1">
                  <c:v>9400</c:v>
                </c:pt>
                <c:pt idx="2">
                  <c:v>14098</c:v>
                </c:pt>
                <c:pt idx="3">
                  <c:v>6788</c:v>
                </c:pt>
                <c:pt idx="4">
                  <c:v>23999</c:v>
                </c:pt>
                <c:pt idx="5">
                  <c:v>7242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B-6641-BE5C-0AF314623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903936"/>
        <c:axId val="521971775"/>
      </c:lineChart>
      <c:dateAx>
        <c:axId val="60868198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2060287"/>
        <c:crosses val="autoZero"/>
        <c:auto val="1"/>
        <c:lblOffset val="100"/>
        <c:baseTimeUnit val="days"/>
      </c:dateAx>
      <c:valAx>
        <c:axId val="3820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8681983"/>
        <c:crosses val="autoZero"/>
        <c:crossBetween val="between"/>
      </c:valAx>
      <c:valAx>
        <c:axId val="521971775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21903936"/>
        <c:crosses val="max"/>
        <c:crossBetween val="between"/>
      </c:valAx>
      <c:catAx>
        <c:axId val="2121903936"/>
        <c:scaling>
          <c:orientation val="minMax"/>
        </c:scaling>
        <c:delete val="1"/>
        <c:axPos val="b"/>
        <c:majorTickMark val="out"/>
        <c:minorTickMark val="none"/>
        <c:tickLblPos val="nextTo"/>
        <c:crossAx val="521971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[Ventas1.xlsx]Reporte Ventas!TablaDinámica7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Ventas'!$B$60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Ventas'!$A$61:$A$67</c:f>
              <c:strCache>
                <c:ptCount val="6"/>
                <c:pt idx="0">
                  <c:v>23/04/26</c:v>
                </c:pt>
                <c:pt idx="1">
                  <c:v>24/04/26</c:v>
                </c:pt>
                <c:pt idx="2">
                  <c:v>25/04/26</c:v>
                </c:pt>
                <c:pt idx="3">
                  <c:v>26/04/26</c:v>
                </c:pt>
                <c:pt idx="4">
                  <c:v>27/04/26</c:v>
                </c:pt>
                <c:pt idx="5">
                  <c:v>29/04/26</c:v>
                </c:pt>
              </c:strCache>
            </c:strRef>
          </c:cat>
          <c:val>
            <c:numRef>
              <c:f>'Reporte Ventas'!$B$61:$B$67</c:f>
              <c:numCache>
                <c:formatCode>_("$"* #,##0.00_);_("$"* \(#,##0.00\);_("$"* "-"??_);_(@_)</c:formatCode>
                <c:ptCount val="6"/>
                <c:pt idx="0">
                  <c:v>37500</c:v>
                </c:pt>
                <c:pt idx="1">
                  <c:v>18800</c:v>
                </c:pt>
                <c:pt idx="2">
                  <c:v>14098</c:v>
                </c:pt>
                <c:pt idx="3">
                  <c:v>6788</c:v>
                </c:pt>
                <c:pt idx="4">
                  <c:v>23999</c:v>
                </c:pt>
                <c:pt idx="5">
                  <c:v>36210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C-DB42-AFD1-6154846C9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533184"/>
        <c:axId val="2128529152"/>
      </c:barChart>
      <c:catAx>
        <c:axId val="212853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28529152"/>
        <c:crosses val="autoZero"/>
        <c:auto val="1"/>
        <c:lblAlgn val="ctr"/>
        <c:lblOffset val="100"/>
        <c:noMultiLvlLbl val="0"/>
      </c:catAx>
      <c:valAx>
        <c:axId val="21285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2853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[Ventas1.xlsx]Reporte Ventas!TablaDinámica8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Ventas'!$B$78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'Reporte Ventas'!$A$79:$A$85</c:f>
              <c:strCache>
                <c:ptCount val="6"/>
                <c:pt idx="0">
                  <c:v>23/04/26</c:v>
                </c:pt>
                <c:pt idx="1">
                  <c:v>24/04/26</c:v>
                </c:pt>
                <c:pt idx="2">
                  <c:v>25/04/26</c:v>
                </c:pt>
                <c:pt idx="3">
                  <c:v>26/04/26</c:v>
                </c:pt>
                <c:pt idx="4">
                  <c:v>27/04/26</c:v>
                </c:pt>
                <c:pt idx="5">
                  <c:v>29/04/26</c:v>
                </c:pt>
              </c:strCache>
            </c:strRef>
          </c:cat>
          <c:val>
            <c:numRef>
              <c:f>'Reporte Ventas'!$B$79:$B$85</c:f>
              <c:numCache>
                <c:formatCode>_("$"* #,##0.00_);_("$"* \(#,##0.00\);_("$"* "-"??_);_(@_)</c:formatCode>
                <c:ptCount val="6"/>
                <c:pt idx="0">
                  <c:v>12500</c:v>
                </c:pt>
                <c:pt idx="1">
                  <c:v>9400</c:v>
                </c:pt>
                <c:pt idx="2">
                  <c:v>14098</c:v>
                </c:pt>
                <c:pt idx="3">
                  <c:v>6788</c:v>
                </c:pt>
                <c:pt idx="4">
                  <c:v>23999</c:v>
                </c:pt>
                <c:pt idx="5">
                  <c:v>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1-2447-8361-2112902E5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724799"/>
        <c:axId val="294720319"/>
      </c:barChart>
      <c:catAx>
        <c:axId val="2947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720319"/>
        <c:crosses val="autoZero"/>
        <c:auto val="1"/>
        <c:lblAlgn val="ctr"/>
        <c:lblOffset val="100"/>
        <c:noMultiLvlLbl val="0"/>
      </c:catAx>
      <c:valAx>
        <c:axId val="2947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472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328083</xdr:colOff>
      <xdr:row>18</xdr:row>
      <xdr:rowOff>152400</xdr:rowOff>
    </xdr:from>
    <xdr:to>
      <xdr:col>12</xdr:col>
      <xdr:colOff>814916</xdr:colOff>
      <xdr:row>32</xdr:row>
      <xdr:rowOff>80433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7E5221-9098-8F0F-E582-71501DDC7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179917</xdr:colOff>
      <xdr:row>19</xdr:row>
      <xdr:rowOff>4234</xdr:rowOff>
    </xdr:from>
    <xdr:to>
      <xdr:col>8</xdr:col>
      <xdr:colOff>52917</xdr:colOff>
      <xdr:row>32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DF25B0-EDCC-66C7-62BF-623783648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176388</xdr:colOff>
      <xdr:row>18</xdr:row>
      <xdr:rowOff>173567</xdr:rowOff>
    </xdr:from>
    <xdr:to>
      <xdr:col>18</xdr:col>
      <xdr:colOff>603250</xdr:colOff>
      <xdr:row>32</xdr:row>
      <xdr:rowOff>105129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300E63-4C95-038A-E9A3-C251B60F3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59</xdr:row>
      <xdr:rowOff>114300</xdr:rowOff>
    </xdr:from>
    <xdr:to>
      <xdr:col>12</xdr:col>
      <xdr:colOff>88900</xdr:colOff>
      <xdr:row>73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68E785-609D-1112-E12D-AD0CFCA4B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76</xdr:row>
      <xdr:rowOff>152400</xdr:rowOff>
    </xdr:from>
    <xdr:to>
      <xdr:col>12</xdr:col>
      <xdr:colOff>0</xdr:colOff>
      <xdr:row>90</xdr:row>
      <xdr:rowOff>25400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247B602-D7AB-06BE-C7AC-4AAA075FE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46.760038194443" createdVersion="8" refreshedVersion="8" minRefreshableVersion="3" recordCount="13" xr:uid="{AF56B977-D97B-1F40-A1C1-03FAE7238EC8}">
  <cacheSource type="worksheet">
    <worksheetSource name="Ventas"/>
  </cacheSource>
  <cacheFields count="7">
    <cacheField name="Folio" numFmtId="0">
      <sharedItems containsSemiMixedTypes="0" containsString="0" containsNumber="1" containsInteger="1" minValue="123" maxValue="136" count="13">
        <n v="123"/>
        <n v="124"/>
        <n v="126"/>
        <n v="127"/>
        <n v="128"/>
        <n v="129"/>
        <n v="130"/>
        <n v="131"/>
        <n v="132"/>
        <n v="133"/>
        <n v="134"/>
        <n v="135"/>
        <n v="136"/>
      </sharedItems>
    </cacheField>
    <cacheField name="Creada" numFmtId="14">
      <sharedItems containsSemiMixedTypes="0" containsNonDate="0" containsDate="1" containsString="0" minDate="2026-04-23T00:00:00" maxDate="2026-04-30T00:00:00" count="6">
        <d v="2026-04-23T00:00:00"/>
        <d v="2026-04-24T00:00:00"/>
        <d v="2026-04-25T00:00:00"/>
        <d v="2026-04-26T00:00:00"/>
        <d v="2026-04-27T00:00:00"/>
        <d v="2026-04-29T00:00:00"/>
      </sharedItems>
    </cacheField>
    <cacheField name="Actualizada" numFmtId="14">
      <sharedItems containsSemiMixedTypes="0" containsNonDate="0" containsDate="1" containsString="0" minDate="2026-04-23T00:00:00" maxDate="2026-04-30T00:00:00"/>
    </cacheField>
    <cacheField name="Estado" numFmtId="0">
      <sharedItems/>
    </cacheField>
    <cacheField name="Saldo Total" numFmtId="44">
      <sharedItems containsSemiMixedTypes="0" containsString="0" containsNumber="1" containsInteger="1" minValue="3389" maxValue="23999" count="13">
        <n v="15400"/>
        <n v="13200"/>
        <n v="8900"/>
        <n v="7600"/>
        <n v="11200"/>
        <n v="14098"/>
        <n v="6788"/>
        <n v="23999"/>
        <n v="4800"/>
        <n v="7800"/>
        <n v="8999"/>
        <n v="11222"/>
        <n v="3389"/>
      </sharedItems>
    </cacheField>
    <cacheField name="Total Pago" numFmtId="44">
      <sharedItems containsSemiMixedTypes="0" containsString="0" containsNumber="1" containsInteger="1" minValue="120" maxValue="3400"/>
    </cacheField>
    <cacheField name="Saldo Actualizado" numFmtId="44">
      <sharedItems containsSemiMixedTypes="0" containsString="0" containsNumber="1" containsInteger="1" minValue="3269" maxValue="23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d v="2026-04-23T00:00:00"/>
    <s v="activa"/>
    <x v="0"/>
    <n v="3400"/>
    <n v="12000"/>
  </r>
  <r>
    <x v="1"/>
    <x v="0"/>
    <d v="2026-04-23T00:00:00"/>
    <s v="activa"/>
    <x v="1"/>
    <n v="200"/>
    <n v="13000"/>
  </r>
  <r>
    <x v="2"/>
    <x v="0"/>
    <d v="2026-04-23T00:00:00"/>
    <s v="activa"/>
    <x v="2"/>
    <n v="1500"/>
    <n v="7400"/>
  </r>
  <r>
    <x v="3"/>
    <x v="1"/>
    <d v="2026-04-24T00:00:00"/>
    <s v="activa"/>
    <x v="3"/>
    <n v="3000"/>
    <n v="4600"/>
  </r>
  <r>
    <x v="4"/>
    <x v="1"/>
    <d v="2026-04-24T00:00:00"/>
    <s v="activa"/>
    <x v="4"/>
    <n v="2300"/>
    <n v="8900"/>
  </r>
  <r>
    <x v="5"/>
    <x v="2"/>
    <d v="2026-04-25T00:00:00"/>
    <s v="activa"/>
    <x v="5"/>
    <n v="1200"/>
    <n v="12898"/>
  </r>
  <r>
    <x v="6"/>
    <x v="3"/>
    <d v="2026-04-26T00:00:00"/>
    <s v="activa"/>
    <x v="6"/>
    <n v="600"/>
    <n v="6188"/>
  </r>
  <r>
    <x v="7"/>
    <x v="4"/>
    <d v="2026-04-27T00:00:00"/>
    <s v="activa"/>
    <x v="7"/>
    <n v="200"/>
    <n v="23799"/>
  </r>
  <r>
    <x v="8"/>
    <x v="5"/>
    <d v="2026-04-29T00:00:00"/>
    <s v="activa"/>
    <x v="8"/>
    <n v="300"/>
    <n v="4500"/>
  </r>
  <r>
    <x v="9"/>
    <x v="5"/>
    <d v="2026-04-29T00:00:00"/>
    <s v="activa"/>
    <x v="9"/>
    <n v="1400"/>
    <n v="6400"/>
  </r>
  <r>
    <x v="10"/>
    <x v="5"/>
    <d v="2026-04-29T00:00:00"/>
    <s v="activa"/>
    <x v="10"/>
    <n v="600"/>
    <n v="8399"/>
  </r>
  <r>
    <x v="11"/>
    <x v="5"/>
    <d v="2026-04-29T00:00:00"/>
    <s v="activa"/>
    <x v="11"/>
    <n v="2300"/>
    <n v="8922"/>
  </r>
  <r>
    <x v="12"/>
    <x v="5"/>
    <d v="2026-04-29T00:00:00"/>
    <s v="activa"/>
    <x v="12"/>
    <n v="120"/>
    <n v="3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88A6B-EB51-DF47-B5FB-3E33F28F9F8B}" name="TablaDiná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8" firstHeaderRow="1" firstDataRow="2" firstDataCol="1"/>
  <pivotFields count="7">
    <pivotField axis="axisRow"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numFmtId="44" showAll="0"/>
    <pivotField numFmtId="44" showAll="0"/>
    <pivotField numFmtId="4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Foli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4EB38-A482-D147-8BD4-CA62FAEF1BE6}" name="TablaDinámica8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78:B85" firstHeaderRow="1" firstDataRow="1" firstDataCol="1"/>
  <pivotFields count="7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numFmtId="14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umFmtId="14" showAll="0"/>
    <pivotField showAll="0"/>
    <pivotField dataField="1" numFmtId="44" showAll="0">
      <items count="14">
        <item x="12"/>
        <item x="8"/>
        <item x="6"/>
        <item x="3"/>
        <item x="9"/>
        <item x="2"/>
        <item x="10"/>
        <item x="4"/>
        <item x="11"/>
        <item x="1"/>
        <item x="5"/>
        <item x="0"/>
        <item x="7"/>
        <item t="default"/>
      </items>
    </pivotField>
    <pivotField numFmtId="44" showAll="0"/>
    <pivotField numFmtId="44" showAl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Saldo Total" fld="4" subtotal="average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34A8D-46BE-A84F-A51A-FFD36AACB970}" name="TablaDinámica7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60:B67" firstHeaderRow="1" firstDataRow="1" firstDataCol="1"/>
  <pivotFields count="7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numFmtId="14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umFmtId="14" showAll="0"/>
    <pivotField showAll="0"/>
    <pivotField dataField="1" numFmtId="44" showAll="0">
      <items count="14">
        <item x="12"/>
        <item x="8"/>
        <item x="6"/>
        <item x="3"/>
        <item x="9"/>
        <item x="2"/>
        <item x="10"/>
        <item x="4"/>
        <item x="11"/>
        <item x="1"/>
        <item x="5"/>
        <item x="0"/>
        <item x="7"/>
        <item t="default"/>
      </items>
    </pivotField>
    <pivotField numFmtId="44" showAll="0"/>
    <pivotField numFmtId="44" showAl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Saldo Total" fld="4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AD914-2F59-894D-AF08-B482935FB323}" name="TablaDinámica5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41:H56" firstHeaderRow="1" firstDataRow="2" firstDataCol="1"/>
  <pivotFields count="7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dataField="1" numFmtId="44" showAll="0"/>
    <pivotField numFmtId="44" showAll="0"/>
    <pivotField numFmtId="4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romedio de Saldo Total" fld="4" subtotal="average" baseField="0" baseItem="0" numFmtId="44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3A535-E3B0-2044-8E41-C3EAA51D1F02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2:H37" firstHeaderRow="1" firstDataRow="2" firstDataCol="1"/>
  <pivotFields count="7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dataField="1" numFmtId="44" showAll="0"/>
    <pivotField numFmtId="44" showAll="0"/>
    <pivotField numFmtId="44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Saldo Total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741FE-7779-1E42-92AC-7D9F30D07E16}" name="Ventas" displayName="Ventas" ref="A1:G15" totalsRowShown="0">
  <autoFilter ref="A1:G15" xr:uid="{5BE741FE-7779-1E42-92AC-7D9F30D07E16}"/>
  <tableColumns count="7">
    <tableColumn id="1" xr3:uid="{6B71385C-6D55-E34E-8A9B-E3F84524FAB1}" name="Folio"/>
    <tableColumn id="2" xr3:uid="{D36132F5-8A49-BB48-BFCB-28763CC08C1C}" name="Creada" dataDxfId="1"/>
    <tableColumn id="3" xr3:uid="{D5793DBE-BE7E-0C41-8989-AA68C3DC618F}" name="Actualizada" dataDxfId="0"/>
    <tableColumn id="4" xr3:uid="{2D55D0A1-0D57-484F-B5E1-E22E1E020138}" name="Estado"/>
    <tableColumn id="5" xr3:uid="{7082BF47-C337-2F4A-AD02-E599DC4DF5EC}" name="Saldo Total" dataCellStyle="Moneda"/>
    <tableColumn id="6" xr3:uid="{105A649F-3781-4F40-A2D1-BEB71E4594C3}" name="Total Pago" dataCellStyle="Moneda"/>
    <tableColumn id="7" xr3:uid="{D16F97B6-89A1-AB4C-97B7-4F87C2114C13}" name="Saldo Actualizado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81F8-8C10-AC49-A0AF-E31C7FB7DAA8}">
  <dimension ref="B3:M18"/>
  <sheetViews>
    <sheetView zoomScale="90" zoomScaleNormal="90" workbookViewId="0">
      <selection activeCell="M17" sqref="M17"/>
    </sheetView>
  </sheetViews>
  <sheetFormatPr baseColWidth="10" defaultRowHeight="16" x14ac:dyDescent="0.2"/>
  <cols>
    <col min="3" max="3" width="10.5" customWidth="1"/>
    <col min="4" max="4" width="11.6640625" customWidth="1"/>
    <col min="6" max="6" width="19.6640625" customWidth="1"/>
    <col min="7" max="7" width="11" bestFit="1" customWidth="1"/>
    <col min="8" max="8" width="16.6640625" customWidth="1"/>
    <col min="11" max="11" width="17" customWidth="1"/>
    <col min="12" max="12" width="15" bestFit="1" customWidth="1"/>
    <col min="13" max="13" width="16.6640625" customWidth="1"/>
  </cols>
  <sheetData>
    <row r="3" spans="2:13" x14ac:dyDescent="0.2">
      <c r="B3" t="s">
        <v>0</v>
      </c>
    </row>
    <row r="5" spans="2:13" x14ac:dyDescent="0.2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J5" t="s">
        <v>9</v>
      </c>
      <c r="K5" t="s">
        <v>11</v>
      </c>
      <c r="L5" t="s">
        <v>10</v>
      </c>
      <c r="M5" t="s">
        <v>12</v>
      </c>
    </row>
    <row r="6" spans="2:13" x14ac:dyDescent="0.2">
      <c r="B6" s="9">
        <v>123</v>
      </c>
      <c r="C6" s="10">
        <v>46135</v>
      </c>
      <c r="D6" s="10">
        <v>46135</v>
      </c>
      <c r="E6" s="9" t="s">
        <v>8</v>
      </c>
      <c r="F6" s="11">
        <v>15400</v>
      </c>
      <c r="G6" s="11">
        <v>3400</v>
      </c>
      <c r="H6" s="11">
        <f>F6-G6</f>
        <v>12000</v>
      </c>
      <c r="J6" s="10" cm="1">
        <f t="array" ref="J6:J11">_xlfn.UNIQUE(C6:C18)</f>
        <v>46135</v>
      </c>
      <c r="K6" s="9" cm="1">
        <f t="array" ref="K6">COUNTA(_xlfn._xlws.FILTER($B$6:$B$18,$C$6:$C$18=J6))</f>
        <v>3</v>
      </c>
      <c r="L6" s="11" cm="1">
        <f t="array" ref="L6">SUM(_xlfn._xlws.FILTER($F$6:$F$18,$C$6:$C$18=J6))</f>
        <v>37500</v>
      </c>
      <c r="M6" s="21">
        <f>L6/K6</f>
        <v>12500</v>
      </c>
    </row>
    <row r="7" spans="2:13" x14ac:dyDescent="0.2">
      <c r="B7" s="9">
        <v>124</v>
      </c>
      <c r="C7" s="10">
        <v>46135</v>
      </c>
      <c r="D7" s="10">
        <v>46135</v>
      </c>
      <c r="E7" s="9" t="s">
        <v>8</v>
      </c>
      <c r="F7" s="11">
        <v>13200</v>
      </c>
      <c r="G7" s="11">
        <v>200</v>
      </c>
      <c r="H7" s="11">
        <f t="shared" ref="H7:H18" si="0">F7-G7</f>
        <v>13000</v>
      </c>
      <c r="J7" s="4">
        <v>46136</v>
      </c>
      <c r="K7" s="3" cm="1">
        <f t="array" ref="K7">COUNTA(_xlfn._xlws.FILTER($B$6:$B$18,$C$6:$C$18=J7))</f>
        <v>2</v>
      </c>
      <c r="L7" s="5" cm="1">
        <f t="array" ref="L7">SUM(_xlfn._xlws.FILTER($F$6:$F$18,$C$6:$C$18=J7))</f>
        <v>18800</v>
      </c>
      <c r="M7" s="21">
        <f t="shared" ref="M7:M11" si="1">L7/K7</f>
        <v>9400</v>
      </c>
    </row>
    <row r="8" spans="2:13" x14ac:dyDescent="0.2">
      <c r="B8" s="9">
        <v>126</v>
      </c>
      <c r="C8" s="10">
        <v>46135</v>
      </c>
      <c r="D8" s="10">
        <v>46135</v>
      </c>
      <c r="E8" s="9" t="s">
        <v>8</v>
      </c>
      <c r="F8" s="11">
        <v>8900</v>
      </c>
      <c r="G8" s="11">
        <v>1500</v>
      </c>
      <c r="H8" s="11">
        <f t="shared" si="0"/>
        <v>7400</v>
      </c>
      <c r="J8" s="13">
        <v>46137</v>
      </c>
      <c r="K8" s="12" cm="1">
        <f t="array" ref="K8">COUNTA(_xlfn._xlws.FILTER($B$6:$B$18,$C$6:$C$18=J8))</f>
        <v>1</v>
      </c>
      <c r="L8" s="14" cm="1">
        <f t="array" ref="L8">SUM(_xlfn._xlws.FILTER($F$6:$F$18,$C$6:$C$18=J8))</f>
        <v>14098</v>
      </c>
      <c r="M8" s="21">
        <f t="shared" si="1"/>
        <v>14098</v>
      </c>
    </row>
    <row r="9" spans="2:13" x14ac:dyDescent="0.2">
      <c r="B9" s="3">
        <v>127</v>
      </c>
      <c r="C9" s="4">
        <v>46136</v>
      </c>
      <c r="D9" s="4">
        <v>46136</v>
      </c>
      <c r="E9" s="3" t="s">
        <v>8</v>
      </c>
      <c r="F9" s="5">
        <v>7600</v>
      </c>
      <c r="G9" s="5">
        <v>3000</v>
      </c>
      <c r="H9" s="5">
        <f t="shared" si="0"/>
        <v>4600</v>
      </c>
      <c r="J9" s="16">
        <v>46138</v>
      </c>
      <c r="K9" s="15" cm="1">
        <f t="array" ref="K9">COUNTA(_xlfn._xlws.FILTER($B$6:$B$18,$C$6:$C$18=J9))</f>
        <v>1</v>
      </c>
      <c r="L9" s="17" cm="1">
        <f t="array" ref="L9">SUM(_xlfn._xlws.FILTER($F$6:$F$18,$C$6:$C$18=J9))</f>
        <v>6788</v>
      </c>
      <c r="M9" s="21">
        <f t="shared" si="1"/>
        <v>6788</v>
      </c>
    </row>
    <row r="10" spans="2:13" x14ac:dyDescent="0.2">
      <c r="B10" s="3">
        <v>128</v>
      </c>
      <c r="C10" s="4">
        <v>46136</v>
      </c>
      <c r="D10" s="4">
        <v>46136</v>
      </c>
      <c r="E10" s="3" t="s">
        <v>8</v>
      </c>
      <c r="F10" s="5">
        <v>11200</v>
      </c>
      <c r="G10" s="5">
        <v>2300</v>
      </c>
      <c r="H10" s="5">
        <f t="shared" si="0"/>
        <v>8900</v>
      </c>
      <c r="J10" s="19">
        <v>46139</v>
      </c>
      <c r="K10" s="18" cm="1">
        <f t="array" ref="K10">COUNTA(_xlfn._xlws.FILTER($B$6:$B$18,$C$6:$C$18=J10))</f>
        <v>1</v>
      </c>
      <c r="L10" s="20" cm="1">
        <f t="array" ref="L10">SUM(_xlfn._xlws.FILTER($F$6:$F$18,$C$6:$C$18=J10))</f>
        <v>23999</v>
      </c>
      <c r="M10" s="21">
        <f t="shared" si="1"/>
        <v>23999</v>
      </c>
    </row>
    <row r="11" spans="2:13" x14ac:dyDescent="0.2">
      <c r="B11" s="12">
        <v>129</v>
      </c>
      <c r="C11" s="13">
        <v>46137</v>
      </c>
      <c r="D11" s="13">
        <v>46137</v>
      </c>
      <c r="E11" s="12" t="s">
        <v>8</v>
      </c>
      <c r="F11" s="14">
        <v>14098</v>
      </c>
      <c r="G11" s="14">
        <v>1200</v>
      </c>
      <c r="H11" s="14">
        <f t="shared" si="0"/>
        <v>12898</v>
      </c>
      <c r="J11" s="6">
        <v>46141</v>
      </c>
      <c r="K11" s="7" cm="1">
        <f t="array" ref="K11">COUNTA(_xlfn._xlws.FILTER($B$6:$B$18,$C$6:$C$18=J11))</f>
        <v>5</v>
      </c>
      <c r="L11" s="8" cm="1">
        <f t="array" ref="L11">SUM(_xlfn._xlws.FILTER($F$6:$F$18,$C$6:$C$18=J11))</f>
        <v>36210</v>
      </c>
      <c r="M11" s="21">
        <f t="shared" si="1"/>
        <v>7242</v>
      </c>
    </row>
    <row r="12" spans="2:13" x14ac:dyDescent="0.2">
      <c r="B12" s="15">
        <v>130</v>
      </c>
      <c r="C12" s="16">
        <v>46138</v>
      </c>
      <c r="D12" s="16">
        <v>46138</v>
      </c>
      <c r="E12" s="15" t="s">
        <v>8</v>
      </c>
      <c r="F12" s="17">
        <v>6788</v>
      </c>
      <c r="G12" s="17">
        <v>600</v>
      </c>
      <c r="H12" s="17">
        <f t="shared" si="0"/>
        <v>6188</v>
      </c>
    </row>
    <row r="13" spans="2:13" x14ac:dyDescent="0.2">
      <c r="B13" s="18">
        <v>131</v>
      </c>
      <c r="C13" s="19">
        <v>46139</v>
      </c>
      <c r="D13" s="19">
        <v>46139</v>
      </c>
      <c r="E13" s="18" t="s">
        <v>8</v>
      </c>
      <c r="F13" s="20">
        <v>23999</v>
      </c>
      <c r="G13" s="20">
        <v>200</v>
      </c>
      <c r="H13" s="20">
        <f t="shared" si="0"/>
        <v>23799</v>
      </c>
    </row>
    <row r="14" spans="2:13" x14ac:dyDescent="0.2">
      <c r="B14" s="7">
        <v>132</v>
      </c>
      <c r="C14" s="6">
        <v>46141</v>
      </c>
      <c r="D14" s="6">
        <v>46141</v>
      </c>
      <c r="E14" s="7" t="s">
        <v>8</v>
      </c>
      <c r="F14" s="8">
        <v>4800</v>
      </c>
      <c r="G14" s="8">
        <v>300</v>
      </c>
      <c r="H14" s="8">
        <f t="shared" si="0"/>
        <v>4500</v>
      </c>
    </row>
    <row r="15" spans="2:13" x14ac:dyDescent="0.2">
      <c r="B15" s="7">
        <v>133</v>
      </c>
      <c r="C15" s="6">
        <v>46141</v>
      </c>
      <c r="D15" s="6">
        <v>46141</v>
      </c>
      <c r="E15" s="7" t="s">
        <v>8</v>
      </c>
      <c r="F15" s="8">
        <v>7800</v>
      </c>
      <c r="G15" s="8">
        <v>1400</v>
      </c>
      <c r="H15" s="8">
        <f t="shared" si="0"/>
        <v>6400</v>
      </c>
    </row>
    <row r="16" spans="2:13" x14ac:dyDescent="0.2">
      <c r="B16" s="7">
        <v>134</v>
      </c>
      <c r="C16" s="6">
        <v>46141</v>
      </c>
      <c r="D16" s="6">
        <v>46141</v>
      </c>
      <c r="E16" s="7" t="s">
        <v>8</v>
      </c>
      <c r="F16" s="8">
        <v>8999</v>
      </c>
      <c r="G16" s="8">
        <v>600</v>
      </c>
      <c r="H16" s="8">
        <f t="shared" si="0"/>
        <v>8399</v>
      </c>
    </row>
    <row r="17" spans="2:8" x14ac:dyDescent="0.2">
      <c r="B17" s="7">
        <v>135</v>
      </c>
      <c r="C17" s="6">
        <v>46141</v>
      </c>
      <c r="D17" s="6">
        <v>46141</v>
      </c>
      <c r="E17" s="7" t="s">
        <v>8</v>
      </c>
      <c r="F17" s="8">
        <v>11222</v>
      </c>
      <c r="G17" s="8">
        <v>2300</v>
      </c>
      <c r="H17" s="8">
        <f t="shared" si="0"/>
        <v>8922</v>
      </c>
    </row>
    <row r="18" spans="2:8" x14ac:dyDescent="0.2">
      <c r="B18" s="7">
        <v>136</v>
      </c>
      <c r="C18" s="6">
        <v>46141</v>
      </c>
      <c r="D18" s="6">
        <v>46141</v>
      </c>
      <c r="E18" s="7" t="s">
        <v>8</v>
      </c>
      <c r="F18" s="8">
        <v>3389</v>
      </c>
      <c r="G18" s="8">
        <v>120</v>
      </c>
      <c r="H18" s="8">
        <f t="shared" si="0"/>
        <v>3269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444F-731F-EC43-81DE-57F3DA4F6AAB}">
  <dimension ref="A1:G15"/>
  <sheetViews>
    <sheetView tabSelected="1" zoomScale="120" zoomScaleNormal="120" workbookViewId="0">
      <selection activeCell="F16" sqref="F16"/>
    </sheetView>
  </sheetViews>
  <sheetFormatPr baseColWidth="10" defaultRowHeight="16" x14ac:dyDescent="0.2"/>
  <cols>
    <col min="2" max="2" width="10.83203125" style="2"/>
    <col min="3" max="3" width="13.33203125" style="2" customWidth="1"/>
    <col min="4" max="4" width="14.33203125" customWidth="1"/>
    <col min="5" max="5" width="15.33203125" style="1" customWidth="1"/>
    <col min="6" max="6" width="16.33203125" style="1" customWidth="1"/>
    <col min="7" max="7" width="19.83203125" style="1" customWidth="1"/>
  </cols>
  <sheetData>
    <row r="1" spans="1:7" x14ac:dyDescent="0.2">
      <c r="A1" t="s">
        <v>1</v>
      </c>
      <c r="B1" s="2" t="s">
        <v>2</v>
      </c>
      <c r="C1" s="2" t="s">
        <v>3</v>
      </c>
      <c r="D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>
        <v>123</v>
      </c>
      <c r="B2" s="2">
        <v>46135</v>
      </c>
      <c r="C2" s="2">
        <v>46135</v>
      </c>
      <c r="D2" t="s">
        <v>8</v>
      </c>
      <c r="E2" s="1">
        <v>15400</v>
      </c>
      <c r="F2" s="1">
        <v>3400</v>
      </c>
      <c r="G2" s="1">
        <v>12000</v>
      </c>
    </row>
    <row r="3" spans="1:7" x14ac:dyDescent="0.2">
      <c r="A3">
        <v>124</v>
      </c>
      <c r="B3" s="2">
        <v>46135</v>
      </c>
      <c r="C3" s="2">
        <v>46135</v>
      </c>
      <c r="D3" t="s">
        <v>8</v>
      </c>
      <c r="E3" s="1">
        <v>13200</v>
      </c>
      <c r="F3" s="1">
        <v>200</v>
      </c>
      <c r="G3" s="1">
        <v>13000</v>
      </c>
    </row>
    <row r="4" spans="1:7" x14ac:dyDescent="0.2">
      <c r="A4">
        <v>126</v>
      </c>
      <c r="B4" s="2">
        <v>46135</v>
      </c>
      <c r="C4" s="2">
        <v>46135</v>
      </c>
      <c r="D4" t="s">
        <v>8</v>
      </c>
      <c r="E4" s="1">
        <v>8900</v>
      </c>
      <c r="F4" s="1">
        <v>1500</v>
      </c>
      <c r="G4" s="1">
        <v>7400</v>
      </c>
    </row>
    <row r="5" spans="1:7" x14ac:dyDescent="0.2">
      <c r="A5">
        <v>127</v>
      </c>
      <c r="B5" s="2">
        <v>46136</v>
      </c>
      <c r="C5" s="2">
        <v>46136</v>
      </c>
      <c r="D5" t="s">
        <v>8</v>
      </c>
      <c r="E5" s="1">
        <v>7600</v>
      </c>
      <c r="F5" s="1">
        <v>3000</v>
      </c>
      <c r="G5" s="1">
        <v>4600</v>
      </c>
    </row>
    <row r="6" spans="1:7" x14ac:dyDescent="0.2">
      <c r="A6">
        <v>128</v>
      </c>
      <c r="B6" s="2">
        <v>46136</v>
      </c>
      <c r="C6" s="2">
        <v>46136</v>
      </c>
      <c r="D6" t="s">
        <v>8</v>
      </c>
      <c r="E6" s="1">
        <v>11200</v>
      </c>
      <c r="F6" s="1">
        <v>2300</v>
      </c>
      <c r="G6" s="1">
        <v>8900</v>
      </c>
    </row>
    <row r="7" spans="1:7" x14ac:dyDescent="0.2">
      <c r="A7">
        <v>129</v>
      </c>
      <c r="B7" s="2">
        <v>46137</v>
      </c>
      <c r="C7" s="2">
        <v>46137</v>
      </c>
      <c r="D7" t="s">
        <v>8</v>
      </c>
      <c r="E7" s="1">
        <v>14098</v>
      </c>
      <c r="F7" s="1">
        <v>1200</v>
      </c>
      <c r="G7" s="1">
        <v>12898</v>
      </c>
    </row>
    <row r="8" spans="1:7" x14ac:dyDescent="0.2">
      <c r="A8">
        <v>130</v>
      </c>
      <c r="B8" s="2">
        <v>46138</v>
      </c>
      <c r="C8" s="2">
        <v>46138</v>
      </c>
      <c r="D8" t="s">
        <v>8</v>
      </c>
      <c r="E8" s="1">
        <v>6788</v>
      </c>
      <c r="F8" s="1">
        <v>600</v>
      </c>
      <c r="G8" s="1">
        <v>6188</v>
      </c>
    </row>
    <row r="9" spans="1:7" x14ac:dyDescent="0.2">
      <c r="A9">
        <v>131</v>
      </c>
      <c r="B9" s="2">
        <v>46139</v>
      </c>
      <c r="C9" s="2">
        <v>46139</v>
      </c>
      <c r="D9" t="s">
        <v>8</v>
      </c>
      <c r="E9" s="1">
        <v>23999</v>
      </c>
      <c r="F9" s="1">
        <v>200</v>
      </c>
      <c r="G9" s="1">
        <v>23799</v>
      </c>
    </row>
    <row r="10" spans="1:7" x14ac:dyDescent="0.2">
      <c r="A10">
        <v>132</v>
      </c>
      <c r="B10" s="2">
        <v>46141</v>
      </c>
      <c r="C10" s="2">
        <v>46141</v>
      </c>
      <c r="D10" t="s">
        <v>8</v>
      </c>
      <c r="E10" s="1">
        <v>4800</v>
      </c>
      <c r="F10" s="1">
        <v>300</v>
      </c>
      <c r="G10" s="1">
        <v>4500</v>
      </c>
    </row>
    <row r="11" spans="1:7" x14ac:dyDescent="0.2">
      <c r="A11">
        <v>133</v>
      </c>
      <c r="B11" s="2">
        <v>46141</v>
      </c>
      <c r="C11" s="2">
        <v>46141</v>
      </c>
      <c r="D11" t="s">
        <v>8</v>
      </c>
      <c r="E11" s="1">
        <v>7800</v>
      </c>
      <c r="F11" s="1">
        <v>1400</v>
      </c>
      <c r="G11" s="1">
        <v>6400</v>
      </c>
    </row>
    <row r="12" spans="1:7" x14ac:dyDescent="0.2">
      <c r="A12">
        <v>134</v>
      </c>
      <c r="B12" s="2">
        <v>46141</v>
      </c>
      <c r="C12" s="2">
        <v>46141</v>
      </c>
      <c r="D12" t="s">
        <v>8</v>
      </c>
      <c r="E12" s="1">
        <v>8999</v>
      </c>
      <c r="F12" s="1">
        <v>600</v>
      </c>
      <c r="G12" s="1">
        <v>8399</v>
      </c>
    </row>
    <row r="13" spans="1:7" x14ac:dyDescent="0.2">
      <c r="A13">
        <v>135</v>
      </c>
      <c r="B13" s="2">
        <v>46141</v>
      </c>
      <c r="C13" s="2">
        <v>46141</v>
      </c>
      <c r="D13" t="s">
        <v>8</v>
      </c>
      <c r="E13" s="1">
        <v>11222</v>
      </c>
      <c r="F13" s="1">
        <v>2300</v>
      </c>
      <c r="G13" s="1">
        <v>8922</v>
      </c>
    </row>
    <row r="14" spans="1:7" x14ac:dyDescent="0.2">
      <c r="A14">
        <v>136</v>
      </c>
      <c r="B14" s="2">
        <v>46141</v>
      </c>
      <c r="C14" s="2">
        <v>46141</v>
      </c>
      <c r="D14" t="s">
        <v>8</v>
      </c>
      <c r="E14" s="1">
        <v>3389</v>
      </c>
      <c r="F14" s="1">
        <v>120</v>
      </c>
      <c r="G14" s="1">
        <v>3269</v>
      </c>
    </row>
    <row r="15" spans="1:7" x14ac:dyDescent="0.2">
      <c r="A15">
        <v>138</v>
      </c>
      <c r="B15" s="2">
        <v>46143</v>
      </c>
      <c r="C15" s="2">
        <v>46144</v>
      </c>
      <c r="D15" t="s">
        <v>8</v>
      </c>
      <c r="E15" s="1">
        <v>8900</v>
      </c>
      <c r="F15" s="1">
        <v>0</v>
      </c>
      <c r="G15" s="1">
        <v>8900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6B15-1DA8-FB4D-AF64-49604383B348}">
  <dimension ref="A1:H85"/>
  <sheetViews>
    <sheetView workbookViewId="0">
      <selection activeCell="J8" sqref="J8"/>
    </sheetView>
  </sheetViews>
  <sheetFormatPr baseColWidth="10" defaultRowHeight="16" x14ac:dyDescent="0.2"/>
  <cols>
    <col min="1" max="1" width="16.83203125" bestFit="1" customWidth="1"/>
    <col min="2" max="2" width="20.83203125" bestFit="1" customWidth="1"/>
    <col min="3" max="3" width="14" customWidth="1"/>
    <col min="4" max="4" width="14.1640625" customWidth="1"/>
    <col min="5" max="5" width="10.5" bestFit="1" customWidth="1"/>
    <col min="6" max="6" width="12.83203125" customWidth="1"/>
    <col min="7" max="7" width="16.5" customWidth="1"/>
    <col min="8" max="8" width="17.33203125" customWidth="1"/>
    <col min="9" max="14" width="11.5" bestFit="1" customWidth="1"/>
    <col min="15" max="15" width="13" bestFit="1" customWidth="1"/>
  </cols>
  <sheetData>
    <row r="1" spans="1:8" x14ac:dyDescent="0.2">
      <c r="A1" t="s">
        <v>16</v>
      </c>
    </row>
    <row r="3" spans="1:8" x14ac:dyDescent="0.2">
      <c r="A3" s="22" t="s">
        <v>17</v>
      </c>
      <c r="B3" s="22" t="s">
        <v>15</v>
      </c>
    </row>
    <row r="4" spans="1:8" x14ac:dyDescent="0.2">
      <c r="A4" s="22" t="s">
        <v>13</v>
      </c>
      <c r="B4" s="2">
        <v>46135</v>
      </c>
      <c r="C4" s="2">
        <v>46136</v>
      </c>
      <c r="D4" s="2">
        <v>46137</v>
      </c>
      <c r="E4" s="2">
        <v>46138</v>
      </c>
      <c r="F4" s="2">
        <v>46139</v>
      </c>
      <c r="G4" s="2">
        <v>46141</v>
      </c>
      <c r="H4" s="2" t="s">
        <v>14</v>
      </c>
    </row>
    <row r="5" spans="1:8" x14ac:dyDescent="0.2">
      <c r="A5" s="23">
        <v>123</v>
      </c>
      <c r="B5">
        <v>1</v>
      </c>
      <c r="H5">
        <v>1</v>
      </c>
    </row>
    <row r="6" spans="1:8" x14ac:dyDescent="0.2">
      <c r="A6" s="23">
        <v>124</v>
      </c>
      <c r="B6">
        <v>1</v>
      </c>
      <c r="H6">
        <v>1</v>
      </c>
    </row>
    <row r="7" spans="1:8" x14ac:dyDescent="0.2">
      <c r="A7" s="23">
        <v>126</v>
      </c>
      <c r="B7">
        <v>1</v>
      </c>
      <c r="H7">
        <v>1</v>
      </c>
    </row>
    <row r="8" spans="1:8" x14ac:dyDescent="0.2">
      <c r="A8" s="23">
        <v>127</v>
      </c>
      <c r="C8">
        <v>1</v>
      </c>
      <c r="H8">
        <v>1</v>
      </c>
    </row>
    <row r="9" spans="1:8" x14ac:dyDescent="0.2">
      <c r="A9" s="23">
        <v>128</v>
      </c>
      <c r="C9">
        <v>1</v>
      </c>
      <c r="H9">
        <v>1</v>
      </c>
    </row>
    <row r="10" spans="1:8" x14ac:dyDescent="0.2">
      <c r="A10" s="23">
        <v>129</v>
      </c>
      <c r="D10">
        <v>1</v>
      </c>
      <c r="H10">
        <v>1</v>
      </c>
    </row>
    <row r="11" spans="1:8" x14ac:dyDescent="0.2">
      <c r="A11" s="23">
        <v>130</v>
      </c>
      <c r="E11">
        <v>1</v>
      </c>
      <c r="H11">
        <v>1</v>
      </c>
    </row>
    <row r="12" spans="1:8" x14ac:dyDescent="0.2">
      <c r="A12" s="23">
        <v>131</v>
      </c>
      <c r="F12">
        <v>1</v>
      </c>
      <c r="H12">
        <v>1</v>
      </c>
    </row>
    <row r="13" spans="1:8" x14ac:dyDescent="0.2">
      <c r="A13" s="23">
        <v>132</v>
      </c>
      <c r="G13">
        <v>1</v>
      </c>
      <c r="H13">
        <v>1</v>
      </c>
    </row>
    <row r="14" spans="1:8" x14ac:dyDescent="0.2">
      <c r="A14" s="23">
        <v>133</v>
      </c>
      <c r="G14">
        <v>1</v>
      </c>
      <c r="H14">
        <v>1</v>
      </c>
    </row>
    <row r="15" spans="1:8" x14ac:dyDescent="0.2">
      <c r="A15" s="23">
        <v>134</v>
      </c>
      <c r="G15">
        <v>1</v>
      </c>
      <c r="H15">
        <v>1</v>
      </c>
    </row>
    <row r="16" spans="1:8" x14ac:dyDescent="0.2">
      <c r="A16" s="23">
        <v>135</v>
      </c>
      <c r="G16">
        <v>1</v>
      </c>
      <c r="H16">
        <v>1</v>
      </c>
    </row>
    <row r="17" spans="1:8" x14ac:dyDescent="0.2">
      <c r="A17" s="23">
        <v>136</v>
      </c>
      <c r="G17">
        <v>1</v>
      </c>
      <c r="H17">
        <v>1</v>
      </c>
    </row>
    <row r="18" spans="1:8" x14ac:dyDescent="0.2">
      <c r="A18" s="23" t="s">
        <v>14</v>
      </c>
      <c r="B18">
        <v>3</v>
      </c>
      <c r="C18">
        <v>2</v>
      </c>
      <c r="D18">
        <v>1</v>
      </c>
      <c r="E18">
        <v>1</v>
      </c>
      <c r="F18">
        <v>1</v>
      </c>
      <c r="G18">
        <v>5</v>
      </c>
      <c r="H18">
        <v>13</v>
      </c>
    </row>
    <row r="20" spans="1:8" x14ac:dyDescent="0.2">
      <c r="A20" t="s">
        <v>18</v>
      </c>
    </row>
    <row r="22" spans="1:8" x14ac:dyDescent="0.2">
      <c r="A22" s="22" t="s">
        <v>19</v>
      </c>
      <c r="B22" s="22" t="s">
        <v>15</v>
      </c>
    </row>
    <row r="23" spans="1:8" x14ac:dyDescent="0.2">
      <c r="A23" s="22" t="s">
        <v>13</v>
      </c>
      <c r="B23" s="2">
        <v>46135</v>
      </c>
      <c r="C23" s="2">
        <v>46136</v>
      </c>
      <c r="D23" s="2">
        <v>46137</v>
      </c>
      <c r="E23" s="2">
        <v>46138</v>
      </c>
      <c r="F23" s="2">
        <v>46139</v>
      </c>
      <c r="G23" s="2">
        <v>46141</v>
      </c>
      <c r="H23" s="2" t="s">
        <v>14</v>
      </c>
    </row>
    <row r="24" spans="1:8" x14ac:dyDescent="0.2">
      <c r="A24" s="23">
        <v>123</v>
      </c>
      <c r="B24" s="21">
        <v>15400</v>
      </c>
      <c r="C24" s="21"/>
      <c r="D24" s="21"/>
      <c r="E24" s="21"/>
      <c r="F24" s="21"/>
      <c r="G24" s="21"/>
      <c r="H24" s="21">
        <v>15400</v>
      </c>
    </row>
    <row r="25" spans="1:8" x14ac:dyDescent="0.2">
      <c r="A25" s="23">
        <v>124</v>
      </c>
      <c r="B25" s="21">
        <v>13200</v>
      </c>
      <c r="C25" s="21"/>
      <c r="D25" s="21"/>
      <c r="E25" s="21"/>
      <c r="F25" s="21"/>
      <c r="G25" s="21"/>
      <c r="H25" s="21">
        <v>13200</v>
      </c>
    </row>
    <row r="26" spans="1:8" x14ac:dyDescent="0.2">
      <c r="A26" s="23">
        <v>126</v>
      </c>
      <c r="B26" s="21">
        <v>8900</v>
      </c>
      <c r="C26" s="21"/>
      <c r="D26" s="21"/>
      <c r="E26" s="21"/>
      <c r="F26" s="21"/>
      <c r="G26" s="21"/>
      <c r="H26" s="21">
        <v>8900</v>
      </c>
    </row>
    <row r="27" spans="1:8" x14ac:dyDescent="0.2">
      <c r="A27" s="23">
        <v>127</v>
      </c>
      <c r="B27" s="21"/>
      <c r="C27" s="21">
        <v>7600</v>
      </c>
      <c r="D27" s="21"/>
      <c r="E27" s="21"/>
      <c r="F27" s="21"/>
      <c r="G27" s="21"/>
      <c r="H27" s="21">
        <v>7600</v>
      </c>
    </row>
    <row r="28" spans="1:8" x14ac:dyDescent="0.2">
      <c r="A28" s="23">
        <v>128</v>
      </c>
      <c r="B28" s="21"/>
      <c r="C28" s="21">
        <v>11200</v>
      </c>
      <c r="D28" s="21"/>
      <c r="E28" s="21"/>
      <c r="F28" s="21"/>
      <c r="G28" s="21"/>
      <c r="H28" s="21">
        <v>11200</v>
      </c>
    </row>
    <row r="29" spans="1:8" x14ac:dyDescent="0.2">
      <c r="A29" s="23">
        <v>129</v>
      </c>
      <c r="B29" s="21"/>
      <c r="C29" s="21"/>
      <c r="D29" s="21">
        <v>14098</v>
      </c>
      <c r="E29" s="21"/>
      <c r="F29" s="21"/>
      <c r="G29" s="21"/>
      <c r="H29" s="21">
        <v>14098</v>
      </c>
    </row>
    <row r="30" spans="1:8" x14ac:dyDescent="0.2">
      <c r="A30" s="23">
        <v>130</v>
      </c>
      <c r="B30" s="21"/>
      <c r="C30" s="21"/>
      <c r="D30" s="21"/>
      <c r="E30" s="21">
        <v>6788</v>
      </c>
      <c r="F30" s="21"/>
      <c r="G30" s="21"/>
      <c r="H30" s="21">
        <v>6788</v>
      </c>
    </row>
    <row r="31" spans="1:8" x14ac:dyDescent="0.2">
      <c r="A31" s="23">
        <v>131</v>
      </c>
      <c r="B31" s="21"/>
      <c r="C31" s="21"/>
      <c r="D31" s="21"/>
      <c r="E31" s="21"/>
      <c r="F31" s="21">
        <v>23999</v>
      </c>
      <c r="G31" s="21"/>
      <c r="H31" s="21">
        <v>23999</v>
      </c>
    </row>
    <row r="32" spans="1:8" x14ac:dyDescent="0.2">
      <c r="A32" s="23">
        <v>132</v>
      </c>
      <c r="B32" s="21"/>
      <c r="C32" s="21"/>
      <c r="D32" s="21"/>
      <c r="E32" s="21"/>
      <c r="F32" s="21"/>
      <c r="G32" s="21">
        <v>4800</v>
      </c>
      <c r="H32" s="21">
        <v>4800</v>
      </c>
    </row>
    <row r="33" spans="1:8" x14ac:dyDescent="0.2">
      <c r="A33" s="23">
        <v>133</v>
      </c>
      <c r="B33" s="21"/>
      <c r="C33" s="21"/>
      <c r="D33" s="21"/>
      <c r="E33" s="21"/>
      <c r="F33" s="21"/>
      <c r="G33" s="21">
        <v>7800</v>
      </c>
      <c r="H33" s="21">
        <v>7800</v>
      </c>
    </row>
    <row r="34" spans="1:8" x14ac:dyDescent="0.2">
      <c r="A34" s="23">
        <v>134</v>
      </c>
      <c r="B34" s="21"/>
      <c r="C34" s="21"/>
      <c r="D34" s="21"/>
      <c r="E34" s="21"/>
      <c r="F34" s="21"/>
      <c r="G34" s="21">
        <v>8999</v>
      </c>
      <c r="H34" s="21">
        <v>8999</v>
      </c>
    </row>
    <row r="35" spans="1:8" x14ac:dyDescent="0.2">
      <c r="A35" s="23">
        <v>135</v>
      </c>
      <c r="B35" s="21"/>
      <c r="C35" s="21"/>
      <c r="D35" s="21"/>
      <c r="E35" s="21"/>
      <c r="F35" s="21"/>
      <c r="G35" s="21">
        <v>11222</v>
      </c>
      <c r="H35" s="21">
        <v>11222</v>
      </c>
    </row>
    <row r="36" spans="1:8" x14ac:dyDescent="0.2">
      <c r="A36" s="23">
        <v>136</v>
      </c>
      <c r="B36" s="21"/>
      <c r="C36" s="21"/>
      <c r="D36" s="21"/>
      <c r="E36" s="21"/>
      <c r="F36" s="21"/>
      <c r="G36" s="21">
        <v>3389</v>
      </c>
      <c r="H36" s="21">
        <v>3389</v>
      </c>
    </row>
    <row r="37" spans="1:8" x14ac:dyDescent="0.2">
      <c r="A37" s="23" t="s">
        <v>14</v>
      </c>
      <c r="B37" s="21">
        <v>37500</v>
      </c>
      <c r="C37" s="21">
        <v>18800</v>
      </c>
      <c r="D37" s="21">
        <v>14098</v>
      </c>
      <c r="E37" s="21">
        <v>6788</v>
      </c>
      <c r="F37" s="21">
        <v>23999</v>
      </c>
      <c r="G37" s="21">
        <v>36210</v>
      </c>
      <c r="H37" s="21">
        <v>137395</v>
      </c>
    </row>
    <row r="39" spans="1:8" x14ac:dyDescent="0.2">
      <c r="A39" t="s">
        <v>20</v>
      </c>
    </row>
    <row r="41" spans="1:8" x14ac:dyDescent="0.2">
      <c r="A41" s="22" t="s">
        <v>21</v>
      </c>
      <c r="B41" s="22" t="s">
        <v>15</v>
      </c>
    </row>
    <row r="42" spans="1:8" x14ac:dyDescent="0.2">
      <c r="A42" s="22" t="s">
        <v>13</v>
      </c>
      <c r="B42" s="2">
        <v>46135</v>
      </c>
      <c r="C42" s="2">
        <v>46136</v>
      </c>
      <c r="D42" s="2">
        <v>46137</v>
      </c>
      <c r="E42" s="2">
        <v>46138</v>
      </c>
      <c r="F42" s="2">
        <v>46139</v>
      </c>
      <c r="G42" s="2">
        <v>46141</v>
      </c>
      <c r="H42" s="2" t="s">
        <v>14</v>
      </c>
    </row>
    <row r="43" spans="1:8" x14ac:dyDescent="0.2">
      <c r="A43" s="23">
        <v>123</v>
      </c>
      <c r="B43" s="21">
        <v>15400</v>
      </c>
      <c r="C43" s="21"/>
      <c r="D43" s="21"/>
      <c r="E43" s="21"/>
      <c r="F43" s="21"/>
      <c r="G43" s="21"/>
      <c r="H43" s="21">
        <v>15400</v>
      </c>
    </row>
    <row r="44" spans="1:8" x14ac:dyDescent="0.2">
      <c r="A44" s="23">
        <v>124</v>
      </c>
      <c r="B44" s="21">
        <v>13200</v>
      </c>
      <c r="C44" s="21"/>
      <c r="D44" s="21"/>
      <c r="E44" s="21"/>
      <c r="F44" s="21"/>
      <c r="G44" s="21"/>
      <c r="H44" s="21">
        <v>13200</v>
      </c>
    </row>
    <row r="45" spans="1:8" x14ac:dyDescent="0.2">
      <c r="A45" s="23">
        <v>126</v>
      </c>
      <c r="B45" s="21">
        <v>8900</v>
      </c>
      <c r="C45" s="21"/>
      <c r="D45" s="21"/>
      <c r="E45" s="21"/>
      <c r="F45" s="21"/>
      <c r="G45" s="21"/>
      <c r="H45" s="21">
        <v>8900</v>
      </c>
    </row>
    <row r="46" spans="1:8" x14ac:dyDescent="0.2">
      <c r="A46" s="23">
        <v>127</v>
      </c>
      <c r="B46" s="21"/>
      <c r="C46" s="21">
        <v>7600</v>
      </c>
      <c r="D46" s="21"/>
      <c r="E46" s="21"/>
      <c r="F46" s="21"/>
      <c r="G46" s="21"/>
      <c r="H46" s="21">
        <v>7600</v>
      </c>
    </row>
    <row r="47" spans="1:8" x14ac:dyDescent="0.2">
      <c r="A47" s="23">
        <v>128</v>
      </c>
      <c r="B47" s="21"/>
      <c r="C47" s="21">
        <v>11200</v>
      </c>
      <c r="D47" s="21"/>
      <c r="E47" s="21"/>
      <c r="F47" s="21"/>
      <c r="G47" s="21"/>
      <c r="H47" s="21">
        <v>11200</v>
      </c>
    </row>
    <row r="48" spans="1:8" x14ac:dyDescent="0.2">
      <c r="A48" s="23">
        <v>129</v>
      </c>
      <c r="B48" s="21"/>
      <c r="C48" s="21"/>
      <c r="D48" s="21">
        <v>14098</v>
      </c>
      <c r="E48" s="21"/>
      <c r="F48" s="21"/>
      <c r="G48" s="21"/>
      <c r="H48" s="21">
        <v>14098</v>
      </c>
    </row>
    <row r="49" spans="1:8" x14ac:dyDescent="0.2">
      <c r="A49" s="23">
        <v>130</v>
      </c>
      <c r="B49" s="21"/>
      <c r="C49" s="21"/>
      <c r="D49" s="21"/>
      <c r="E49" s="21">
        <v>6788</v>
      </c>
      <c r="F49" s="21"/>
      <c r="G49" s="21"/>
      <c r="H49" s="21">
        <v>6788</v>
      </c>
    </row>
    <row r="50" spans="1:8" x14ac:dyDescent="0.2">
      <c r="A50" s="23">
        <v>131</v>
      </c>
      <c r="B50" s="21"/>
      <c r="C50" s="21"/>
      <c r="D50" s="21"/>
      <c r="E50" s="21"/>
      <c r="F50" s="21">
        <v>23999</v>
      </c>
      <c r="G50" s="21"/>
      <c r="H50" s="21">
        <v>23999</v>
      </c>
    </row>
    <row r="51" spans="1:8" x14ac:dyDescent="0.2">
      <c r="A51" s="23">
        <v>132</v>
      </c>
      <c r="B51" s="21"/>
      <c r="C51" s="21"/>
      <c r="D51" s="21"/>
      <c r="E51" s="21"/>
      <c r="F51" s="21"/>
      <c r="G51" s="21">
        <v>4800</v>
      </c>
      <c r="H51" s="21">
        <v>4800</v>
      </c>
    </row>
    <row r="52" spans="1:8" x14ac:dyDescent="0.2">
      <c r="A52" s="23">
        <v>133</v>
      </c>
      <c r="B52" s="21"/>
      <c r="C52" s="21"/>
      <c r="D52" s="21"/>
      <c r="E52" s="21"/>
      <c r="F52" s="21"/>
      <c r="G52" s="21">
        <v>7800</v>
      </c>
      <c r="H52" s="21">
        <v>7800</v>
      </c>
    </row>
    <row r="53" spans="1:8" x14ac:dyDescent="0.2">
      <c r="A53" s="23">
        <v>134</v>
      </c>
      <c r="B53" s="21"/>
      <c r="C53" s="21"/>
      <c r="D53" s="21"/>
      <c r="E53" s="21"/>
      <c r="F53" s="21"/>
      <c r="G53" s="21">
        <v>8999</v>
      </c>
      <c r="H53" s="21">
        <v>8999</v>
      </c>
    </row>
    <row r="54" spans="1:8" x14ac:dyDescent="0.2">
      <c r="A54" s="23">
        <v>135</v>
      </c>
      <c r="B54" s="21"/>
      <c r="C54" s="21"/>
      <c r="D54" s="21"/>
      <c r="E54" s="21"/>
      <c r="F54" s="21"/>
      <c r="G54" s="21">
        <v>11222</v>
      </c>
      <c r="H54" s="21">
        <v>11222</v>
      </c>
    </row>
    <row r="55" spans="1:8" x14ac:dyDescent="0.2">
      <c r="A55" s="23">
        <v>136</v>
      </c>
      <c r="B55" s="21"/>
      <c r="C55" s="21"/>
      <c r="D55" s="21"/>
      <c r="E55" s="21"/>
      <c r="F55" s="21"/>
      <c r="G55" s="21">
        <v>3389</v>
      </c>
      <c r="H55" s="21">
        <v>3389</v>
      </c>
    </row>
    <row r="56" spans="1:8" x14ac:dyDescent="0.2">
      <c r="A56" s="23" t="s">
        <v>14</v>
      </c>
      <c r="B56" s="21">
        <v>12500</v>
      </c>
      <c r="C56" s="21">
        <v>9400</v>
      </c>
      <c r="D56" s="21">
        <v>14098</v>
      </c>
      <c r="E56" s="21">
        <v>6788</v>
      </c>
      <c r="F56" s="21">
        <v>23999</v>
      </c>
      <c r="G56" s="21">
        <v>7242</v>
      </c>
      <c r="H56" s="21">
        <v>10568.846153846154</v>
      </c>
    </row>
    <row r="58" spans="1:8" x14ac:dyDescent="0.2">
      <c r="A58" t="s">
        <v>22</v>
      </c>
    </row>
    <row r="60" spans="1:8" x14ac:dyDescent="0.2">
      <c r="A60" s="22" t="s">
        <v>13</v>
      </c>
      <c r="B60" t="s">
        <v>19</v>
      </c>
    </row>
    <row r="61" spans="1:8" x14ac:dyDescent="0.2">
      <c r="A61" s="24">
        <v>46135</v>
      </c>
      <c r="B61" s="21">
        <v>37500</v>
      </c>
    </row>
    <row r="62" spans="1:8" x14ac:dyDescent="0.2">
      <c r="A62" s="24">
        <v>46136</v>
      </c>
      <c r="B62" s="21">
        <v>18800</v>
      </c>
    </row>
    <row r="63" spans="1:8" x14ac:dyDescent="0.2">
      <c r="A63" s="24">
        <v>46137</v>
      </c>
      <c r="B63" s="21">
        <v>14098</v>
      </c>
    </row>
    <row r="64" spans="1:8" x14ac:dyDescent="0.2">
      <c r="A64" s="24">
        <v>46138</v>
      </c>
      <c r="B64" s="21">
        <v>6788</v>
      </c>
    </row>
    <row r="65" spans="1:2" x14ac:dyDescent="0.2">
      <c r="A65" s="24">
        <v>46139</v>
      </c>
      <c r="B65" s="21">
        <v>23999</v>
      </c>
    </row>
    <row r="66" spans="1:2" x14ac:dyDescent="0.2">
      <c r="A66" s="24">
        <v>46141</v>
      </c>
      <c r="B66" s="21">
        <v>36210</v>
      </c>
    </row>
    <row r="67" spans="1:2" x14ac:dyDescent="0.2">
      <c r="A67" s="24" t="s">
        <v>14</v>
      </c>
      <c r="B67" s="21">
        <v>137395</v>
      </c>
    </row>
    <row r="76" spans="1:2" x14ac:dyDescent="0.2">
      <c r="A76" t="s">
        <v>23</v>
      </c>
    </row>
    <row r="78" spans="1:2" x14ac:dyDescent="0.2">
      <c r="A78" s="22" t="s">
        <v>13</v>
      </c>
      <c r="B78" t="s">
        <v>21</v>
      </c>
    </row>
    <row r="79" spans="1:2" x14ac:dyDescent="0.2">
      <c r="A79" s="24">
        <v>46135</v>
      </c>
      <c r="B79" s="21">
        <v>12500</v>
      </c>
    </row>
    <row r="80" spans="1:2" x14ac:dyDescent="0.2">
      <c r="A80" s="24">
        <v>46136</v>
      </c>
      <c r="B80" s="21">
        <v>9400</v>
      </c>
    </row>
    <row r="81" spans="1:2" x14ac:dyDescent="0.2">
      <c r="A81" s="24">
        <v>46137</v>
      </c>
      <c r="B81" s="21">
        <v>14098</v>
      </c>
    </row>
    <row r="82" spans="1:2" x14ac:dyDescent="0.2">
      <c r="A82" s="24">
        <v>46138</v>
      </c>
      <c r="B82" s="21">
        <v>6788</v>
      </c>
    </row>
    <row r="83" spans="1:2" x14ac:dyDescent="0.2">
      <c r="A83" s="24">
        <v>46139</v>
      </c>
      <c r="B83" s="21">
        <v>23999</v>
      </c>
    </row>
    <row r="84" spans="1:2" x14ac:dyDescent="0.2">
      <c r="A84" s="24">
        <v>46141</v>
      </c>
      <c r="B84" s="21">
        <v>7242</v>
      </c>
    </row>
    <row r="85" spans="1:2" x14ac:dyDescent="0.2">
      <c r="A85" s="24" t="s">
        <v>14</v>
      </c>
      <c r="B85" s="21">
        <v>10568.846153846154</v>
      </c>
    </row>
  </sheetData>
  <pageMargins left="0.7" right="0.7" top="0.75" bottom="0.75" header="0.3" footer="0.3"/>
  <pageSetup orientation="portrait" horizontalDpi="0" verticalDpi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Mixto</vt:lpstr>
      <vt:lpstr>Ventas</vt:lpstr>
      <vt:lpstr>Reporte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2026-05-04T23:43:09Z</dcterms:created>
  <dcterms:modified xsi:type="dcterms:W3CDTF">2026-05-05T00:41:16Z</dcterms:modified>
</cp:coreProperties>
</file>